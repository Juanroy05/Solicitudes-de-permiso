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d\Downloads\"/>
    </mc:Choice>
  </mc:AlternateContent>
  <xr:revisionPtr revIDLastSave="0" documentId="8_{B1940EF4-0D52-4AB6-B0A0-C4ACB49D5A7A}" xr6:coauthVersionLast="47" xr6:coauthVersionMax="47" xr10:uidLastSave="{00000000-0000-0000-0000-000000000000}"/>
  <bookViews>
    <workbookView xWindow="-110" yWindow="-110" windowWidth="19420" windowHeight="11500" firstSheet="1" activeTab="4" xr2:uid="{14EEFFD3-D408-48F8-8ECF-F0862AD48B10}"/>
  </bookViews>
  <sheets>
    <sheet name="Dim_Empleados" sheetId="2" r:id="rId1"/>
    <sheet name="Dim_Areas" sheetId="3" r:id="rId2"/>
    <sheet name="Dim_TipoPermiso" sheetId="4" r:id="rId3"/>
    <sheet name="Permisos" sheetId="1" r:id="rId4"/>
    <sheet name="Informe" sheetId="5" r:id="rId5"/>
    <sheet name="Dashboard" sheetId="6" r:id="rId6"/>
  </sheets>
  <definedNames>
    <definedName name="_xlchart.v1.0" hidden="1">Informe!$A$24:$A$33</definedName>
    <definedName name="_xlchart.v1.1" hidden="1">Informe!$B$23</definedName>
    <definedName name="_xlchart.v1.10" hidden="1">Informe!$A$25</definedName>
    <definedName name="_xlchart.v1.11" hidden="1">Informe!$A$26</definedName>
    <definedName name="_xlchart.v1.12" hidden="1">Informe!$A$27</definedName>
    <definedName name="_xlchart.v1.13" hidden="1">Informe!$A$28</definedName>
    <definedName name="_xlchart.v1.14" hidden="1">Informe!$A$29</definedName>
    <definedName name="_xlchart.v1.15" hidden="1">Informe!$A$30</definedName>
    <definedName name="_xlchart.v1.16" hidden="1">Informe!$A$31</definedName>
    <definedName name="_xlchart.v1.17" hidden="1">Informe!$A$32</definedName>
    <definedName name="_xlchart.v1.18" hidden="1">Informe!$A$33</definedName>
    <definedName name="_xlchart.v1.19" hidden="1">Informe!$B$23</definedName>
    <definedName name="_xlchart.v1.2" hidden="1">Informe!$B$24:$B$33</definedName>
    <definedName name="_xlchart.v1.20" hidden="1">Informe!$B$24</definedName>
    <definedName name="_xlchart.v1.21" hidden="1">Informe!$B$25</definedName>
    <definedName name="_xlchart.v1.22" hidden="1">Informe!$B$26</definedName>
    <definedName name="_xlchart.v1.23" hidden="1">Informe!$B$27</definedName>
    <definedName name="_xlchart.v1.24" hidden="1">Informe!$B$28</definedName>
    <definedName name="_xlchart.v1.25" hidden="1">Informe!$B$29</definedName>
    <definedName name="_xlchart.v1.26" hidden="1">Informe!$B$30</definedName>
    <definedName name="_xlchart.v1.27" hidden="1">Informe!$B$31</definedName>
    <definedName name="_xlchart.v1.28" hidden="1">Informe!$B$32</definedName>
    <definedName name="_xlchart.v1.29" hidden="1">Informe!$B$33</definedName>
    <definedName name="_xlchart.v1.3" hidden="1">Informe!$A$24:$A$33</definedName>
    <definedName name="_xlchart.v1.30" hidden="1">Informe!$A$24:$A$33</definedName>
    <definedName name="_xlchart.v1.31" hidden="1">Informe!$B$23</definedName>
    <definedName name="_xlchart.v1.32" hidden="1">Informe!$B$24:$B$33</definedName>
    <definedName name="_xlchart.v1.33" hidden="1">Informe!$A$24:$A$33</definedName>
    <definedName name="_xlchart.v1.34" hidden="1">Informe!$B$23</definedName>
    <definedName name="_xlchart.v1.35" hidden="1">Informe!$B$24:$B$33</definedName>
    <definedName name="_xlchart.v1.36" hidden="1">Informe!$A$24:$A$33</definedName>
    <definedName name="_xlchart.v1.37" hidden="1">Informe!$B$23</definedName>
    <definedName name="_xlchart.v1.38" hidden="1">Informe!$B$24:$B$33</definedName>
    <definedName name="_xlchart.v1.4" hidden="1">Informe!$B$23</definedName>
    <definedName name="_xlchart.v1.5" hidden="1">Informe!$B$24:$B$33</definedName>
    <definedName name="_xlchart.v1.6" hidden="1">Informe!$A$24:$A$33</definedName>
    <definedName name="_xlchart.v1.7" hidden="1">Informe!$B$23</definedName>
    <definedName name="_xlchart.v1.8" hidden="1">Informe!$B$24:$B$33</definedName>
    <definedName name="_xlchart.v1.9" hidden="1">Informe!$A$24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B25" i="5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B4" i="5"/>
  <c r="C28" i="5"/>
  <c r="C32" i="5"/>
  <c r="C17" i="5"/>
  <c r="C18" i="5"/>
  <c r="C19" i="5"/>
  <c r="C20" i="5"/>
  <c r="C10" i="5"/>
  <c r="B17" i="5"/>
  <c r="B18" i="5"/>
  <c r="B19" i="5"/>
  <c r="B20" i="5"/>
  <c r="B10" i="5"/>
  <c r="C11" i="5"/>
  <c r="C12" i="5"/>
  <c r="C13" i="5"/>
  <c r="B11" i="5"/>
  <c r="B12" i="5"/>
  <c r="B13" i="5"/>
  <c r="B6" i="5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G2" i="1" a="1"/>
  <c r="G2" i="1" s="1"/>
  <c r="G3" i="1" a="1"/>
  <c r="G3" i="1"/>
  <c r="G4" i="1" a="1"/>
  <c r="G4" i="1"/>
  <c r="G5" i="1" a="1"/>
  <c r="G5" i="1"/>
  <c r="G6" i="1" a="1"/>
  <c r="G6" i="1" s="1"/>
  <c r="G7" i="1" a="1"/>
  <c r="G7" i="1" s="1"/>
  <c r="G8" i="1" a="1"/>
  <c r="G8" i="1" s="1"/>
  <c r="G9" i="1" a="1"/>
  <c r="G9" i="1"/>
  <c r="G10" i="1" a="1"/>
  <c r="G10" i="1" s="1"/>
  <c r="G11" i="1" a="1"/>
  <c r="G11" i="1" s="1"/>
  <c r="G12" i="1" a="1"/>
  <c r="G12" i="1"/>
  <c r="G13" i="1" a="1"/>
  <c r="G13" i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B32" i="5" l="1"/>
  <c r="B28" i="5"/>
  <c r="B5" i="5"/>
  <c r="C31" i="5"/>
  <c r="C27" i="5"/>
  <c r="B31" i="5"/>
  <c r="B27" i="5"/>
  <c r="C24" i="5"/>
  <c r="C30" i="5"/>
  <c r="C26" i="5"/>
  <c r="B24" i="5"/>
  <c r="B30" i="5"/>
  <c r="B26" i="5"/>
  <c r="C33" i="5"/>
  <c r="C29" i="5"/>
  <c r="C25" i="5"/>
  <c r="B33" i="5"/>
  <c r="B2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<sst xmlns="http://schemas.openxmlformats.org/spreadsheetml/2006/main" count="206" uniqueCount="96">
  <si>
    <t>ID_Permiso</t>
  </si>
  <si>
    <t>Fecha</t>
  </si>
  <si>
    <t>ID_Empleado</t>
  </si>
  <si>
    <t>ID_TipoPermiso</t>
  </si>
  <si>
    <t>Dias</t>
  </si>
  <si>
    <t>Observacion</t>
  </si>
  <si>
    <t>P001</t>
  </si>
  <si>
    <t>E001</t>
  </si>
  <si>
    <t>TP01</t>
  </si>
  <si>
    <t>Cita médica</t>
  </si>
  <si>
    <t>P002</t>
  </si>
  <si>
    <t>E004</t>
  </si>
  <si>
    <t>TP02</t>
  </si>
  <si>
    <t>Calamidad familiar</t>
  </si>
  <si>
    <t>P003</t>
  </si>
  <si>
    <t>E002</t>
  </si>
  <si>
    <t>TP03</t>
  </si>
  <si>
    <t>Asunto personal</t>
  </si>
  <si>
    <t>P004</t>
  </si>
  <si>
    <t>E007</t>
  </si>
  <si>
    <t>P005</t>
  </si>
  <si>
    <t>E003</t>
  </si>
  <si>
    <t>TP04</t>
  </si>
  <si>
    <t>Capacitación</t>
  </si>
  <si>
    <t>P006</t>
  </si>
  <si>
    <t>E009</t>
  </si>
  <si>
    <t>P007</t>
  </si>
  <si>
    <t>E005</t>
  </si>
  <si>
    <t>P008</t>
  </si>
  <si>
    <t>E008</t>
  </si>
  <si>
    <t>P009</t>
  </si>
  <si>
    <t>E006</t>
  </si>
  <si>
    <t>P010</t>
  </si>
  <si>
    <t>E010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</si>
  <si>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</si>
  <si>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</si>
  <si>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</si>
  <si>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</si>
  <si>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</si>
  <si>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</si>
  <si>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</si>
  <si>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</si>
  <si>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</si>
  <si>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</si>
  <si>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</si>
  <si>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</si>
  <si>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</si>
  <si>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</si>
  <si>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Nombre</t>
  </si>
  <si>
    <t>Cargo</t>
  </si>
  <si>
    <t>ID_Area</t>
  </si>
  <si>
    <t>Ana Torres</t>
  </si>
  <si>
    <t>Auxiliar Administrativo</t>
  </si>
  <si>
    <t>A01</t>
  </si>
  <si>
    <t>Carlos Ruiz</t>
  </si>
  <si>
    <t>Analista Administrativo</t>
  </si>
  <si>
    <t>A02</t>
  </si>
  <si>
    <t>Diana Gómez</t>
  </si>
  <si>
    <t>Auxiliar de Archivo</t>
  </si>
  <si>
    <t>A03</t>
  </si>
  <si>
    <t>Felipe Castro</t>
  </si>
  <si>
    <t>Coordinador Administrativo</t>
  </si>
  <si>
    <t>Laura Martínez</t>
  </si>
  <si>
    <t>A04</t>
  </si>
  <si>
    <t>Andrés Pérez</t>
  </si>
  <si>
    <t>Técnico Administrativo</t>
  </si>
  <si>
    <t>Sandra López</t>
  </si>
  <si>
    <t>Juan Rodríguez</t>
  </si>
  <si>
    <t>Asistente Administrativo</t>
  </si>
  <si>
    <t>Mónica Herrera</t>
  </si>
  <si>
    <t>David Moreno</t>
  </si>
  <si>
    <t>Área</t>
  </si>
  <si>
    <t>Gestión Administrativa</t>
  </si>
  <si>
    <t>Recursos Humanos</t>
  </si>
  <si>
    <t>Gestión Documental</t>
  </si>
  <si>
    <t>Atención al Usuario</t>
  </si>
  <si>
    <t>Tipo_Permiso</t>
  </si>
  <si>
    <t>Nombre empleado</t>
  </si>
  <si>
    <t>Tipo Permiso</t>
  </si>
  <si>
    <t>INDICADORES DE GESTIÖN</t>
  </si>
  <si>
    <t>Total de días de permiso</t>
  </si>
  <si>
    <t>Numero de solicitudes</t>
  </si>
  <si>
    <t>Indicador</t>
  </si>
  <si>
    <t>Valor</t>
  </si>
  <si>
    <t>Promedio de dias por permiso</t>
  </si>
  <si>
    <t>Tipo de permiso</t>
  </si>
  <si>
    <t>Total de dias</t>
  </si>
  <si>
    <t>Análisis tipo de permiso</t>
  </si>
  <si>
    <t>Solicitudes</t>
  </si>
  <si>
    <t>Días de permiso</t>
  </si>
  <si>
    <t>Gestión administrativa</t>
  </si>
  <si>
    <t>Gestión documental</t>
  </si>
  <si>
    <t>Atención al usuario</t>
  </si>
  <si>
    <t>Análisis por área</t>
  </si>
  <si>
    <t>Empleado</t>
  </si>
  <si>
    <t>Análisis por 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</si>
</sst>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2" borderId="1" xfId="0" applyFont="1" applyFill="1" applyBorder="1"/>
    <xf numFmtId="0" fontId="0" fillId="0" borderId="1" xfId="0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/>
  </cellXfs>
  <cellStyles count="1">
    <cellStyle name="Normal" xfId="0" builtinId="0"/>
  </cellStyles>
  <dxfs count="10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Solicitudes de permiso por área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Informe!$B$16</c:f>
              <c:strCache>
                <c:ptCount val="1"/>
                <c:pt idx="0">
                  <c:v>Solicitudes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Informe!$A$17:$A$20</c:f>
              <c:strCache>
                <c:ptCount val="4"/>
                <c:pt idx="0">
                  <c:v>Gestión administrativa</c:v>
                </c:pt>
                <c:pt idx="1">
                  <c:v>Recursos Humanos</c:v>
                </c:pt>
                <c:pt idx="2">
                  <c:v>Gestión documental</c:v>
                </c:pt>
                <c:pt idx="3">
                  <c:v>Atención al usuario</c:v>
                </c:pt>
              </c:strCache>
            </c:strRef>
          </c:cat>
          <c:val>
            <c:numRef>
              <c:f>Informe!$B$17:$B$20</c:f>
              <c:numCache>
                <c:formatCode>General</c:formatCode>
                <c:ptCount val="4"/>
                <c:pt idx="0">
                  <c:v>8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8-4364-AC1D-11E84D826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6487504"/>
        <c:axId val="1229369999"/>
      </c:barChart>
      <c:catAx>
        <c:axId val="65648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9369999"/>
        <c:crosses val="autoZero"/>
        <c:auto val="1"/>
        <c:lblAlgn val="ctr"/>
        <c:lblOffset val="100"/>
        <c:noMultiLvlLbl val="0"/>
      </c:catAx>
      <c:valAx>
        <c:axId val="122936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648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2">
          <a:lumMod val="50000"/>
          <a:lumOff val="50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Días de permiso por tipo de permiso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Informe!$C$9</c:f>
              <c:strCache>
                <c:ptCount val="1"/>
                <c:pt idx="0">
                  <c:v>Total de dias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Informe!$A$10:$A$13</c:f>
              <c:strCache>
                <c:ptCount val="4"/>
                <c:pt idx="0">
                  <c:v>Cita médica</c:v>
                </c:pt>
                <c:pt idx="1">
                  <c:v>Calamidad familiar</c:v>
                </c:pt>
                <c:pt idx="2">
                  <c:v>Asunto personal</c:v>
                </c:pt>
                <c:pt idx="3">
                  <c:v>Capacitación</c:v>
                </c:pt>
              </c:strCache>
            </c:strRef>
          </c:cat>
          <c:val>
            <c:numRef>
              <c:f>Informe!$C$10:$C$13</c:f>
              <c:numCache>
                <c:formatCode>General</c:formatCode>
                <c:ptCount val="4"/>
                <c:pt idx="0">
                  <c:v>7</c:v>
                </c:pt>
                <c:pt idx="1">
                  <c:v>10</c:v>
                </c:pt>
                <c:pt idx="2">
                  <c:v>9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2-43BB-A775-C00C731EB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6439712"/>
        <c:axId val="1229313359"/>
      </c:barChart>
      <c:catAx>
        <c:axId val="65643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9313359"/>
        <c:crosses val="autoZero"/>
        <c:auto val="1"/>
        <c:lblAlgn val="ctr"/>
        <c:lblOffset val="100"/>
        <c:noMultiLvlLbl val="0"/>
      </c:catAx>
      <c:valAx>
        <c:axId val="122931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643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2">
          <a:lumMod val="50000"/>
          <a:lumOff val="50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Solicitudes por tipo de permiso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Informe!$B$9</c:f>
              <c:strCache>
                <c:ptCount val="1"/>
                <c:pt idx="0">
                  <c:v>Numero de solicitudes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Informe!$A$10:$A$13</c:f>
              <c:strCache>
                <c:ptCount val="4"/>
                <c:pt idx="0">
                  <c:v>Cita médica</c:v>
                </c:pt>
                <c:pt idx="1">
                  <c:v>Calamidad familiar</c:v>
                </c:pt>
                <c:pt idx="2">
                  <c:v>Asunto personal</c:v>
                </c:pt>
                <c:pt idx="3">
                  <c:v>Capacitación</c:v>
                </c:pt>
              </c:strCache>
            </c:strRef>
          </c:cat>
          <c:val>
            <c:numRef>
              <c:f>Informe!$B$10:$B$13</c:f>
              <c:numCache>
                <c:formatCode>General</c:formatCode>
                <c:ptCount val="4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2-4E74-BA8F-B743E72EC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6534368"/>
        <c:axId val="1229352719"/>
      </c:barChart>
      <c:catAx>
        <c:axId val="65653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9352719"/>
        <c:crosses val="autoZero"/>
        <c:auto val="1"/>
        <c:lblAlgn val="ctr"/>
        <c:lblOffset val="100"/>
        <c:noMultiLvlLbl val="0"/>
      </c:catAx>
      <c:valAx>
        <c:axId val="122935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653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2">
          <a:lumMod val="50000"/>
          <a:lumOff val="50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Informe!$C$16</c:f>
              <c:strCache>
                <c:ptCount val="1"/>
                <c:pt idx="0">
                  <c:v>Días de permiso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F6-4DE2-8231-25F12911B084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F6-4DE2-8231-25F12911B084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F6-4DE2-8231-25F12911B084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F6-4DE2-8231-25F12911B0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Informe!$A$17:$A$20</c:f>
              <c:strCache>
                <c:ptCount val="4"/>
                <c:pt idx="0">
                  <c:v>Gestión administrativa</c:v>
                </c:pt>
                <c:pt idx="1">
                  <c:v>Recursos Humanos</c:v>
                </c:pt>
                <c:pt idx="2">
                  <c:v>Gestión documental</c:v>
                </c:pt>
                <c:pt idx="3">
                  <c:v>Atención al usuario</c:v>
                </c:pt>
              </c:strCache>
            </c:strRef>
          </c:cat>
          <c:val>
            <c:numRef>
              <c:f>Informe!$C$17:$C$20</c:f>
              <c:numCache>
                <c:formatCode>General</c:formatCode>
                <c:ptCount val="4"/>
                <c:pt idx="0">
                  <c:v>13</c:v>
                </c:pt>
                <c:pt idx="1">
                  <c:v>9</c:v>
                </c:pt>
                <c:pt idx="2">
                  <c:v>9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F6-4DE2-8231-25F12911B084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2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_xlchart.v1.33</cx:f>
      </cx:strDim>
      <cx:numDim type="size">
        <cx:f>_xlchart.v1.35</cx:f>
      </cx:numDim>
    </cx:data>
  </cx:chartData>
  <cx:chart>
    <cx:title pos="t" align="ctr" overlay="0">
      <cx:tx>
        <cx:txData>
          <cx:v>Solicitudes por empleado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MX" sz="1400" b="0" i="0" u="none" strike="noStrike" baseline="0">
              <a:solidFill>
                <a:schemeClr val="bg1"/>
              </a:solidFill>
              <a:latin typeface="Aptos Narrow" panose="02110004020202020204"/>
            </a:rPr>
            <a:t>Solicitudes por empleado</a:t>
          </a:r>
        </a:p>
      </cx:txPr>
    </cx:title>
    <cx:plotArea>
      <cx:plotAreaRegion>
        <cx:series layoutId="treemap" uniqueId="{00000000-3F89-4FD9-864E-193EBD92B4AE}">
          <cx:tx>
            <cx:txData>
              <cx:f>_xlchart.v1.34</cx:f>
              <cx:v>Solicitudes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bg1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s-CO">
                  <a:solidFill>
                    <a:schemeClr val="bg1"/>
                  </a:solidFill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bg1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endParaRPr lang="es-CO">
            <a:solidFill>
              <a:schemeClr val="bg1"/>
            </a:solidFill>
          </a:endParaRPr>
        </a:p>
      </cx:txPr>
    </cx:legend>
  </cx:chart>
  <cx:spPr>
    <a:noFill/>
    <a:ln>
      <a:solidFill>
        <a:schemeClr val="tx2">
          <a:lumMod val="50000"/>
          <a:lumOff val="50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84667</xdr:colOff>
      <xdr:row>22</xdr:row>
      <xdr:rowOff>49389</xdr:rowOff>
    </xdr:from>
    <xdr:to>
      <xdr:col>16</xdr:col>
      <xdr:colOff>677334</xdr:colOff>
      <xdr:row>26</xdr:row>
      <xdr:rowOff>4233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2D2FE11E-A601-4718-961D-0EA764343634}"/>
            </a:ext>
          </a:extLst>
        </xdr:cNvPr>
        <xdr:cNvGrpSpPr/>
      </xdr:nvGrpSpPr>
      <xdr:grpSpPr>
        <a:xfrm>
          <a:off x="9228667" y="4085167"/>
          <a:ext cx="3640667" cy="688622"/>
          <a:chOff x="603250" y="3276600"/>
          <a:chExt cx="2330450" cy="736600"/>
        </a:xfrm>
      </xdr:grpSpPr>
      <xdr:sp macro="" textlink="Informe!B6">
        <xdr:nvSpPr>
          <xdr:cNvPr id="11" name="Rectángulo: esquinas redondeadas 10">
            <a:extLst>
              <a:ext uri="{FF2B5EF4-FFF2-40B4-BE49-F238E27FC236}">
                <a16:creationId xmlns:a16="http://schemas.microsoft.com/office/drawing/2014/main" id="{4EDE5F83-B17F-0BEA-7F00-2AAE438F5D7E}"/>
              </a:ext>
            </a:extLst>
          </xdr:cNvPr>
          <xdr:cNvSpPr/>
        </xdr:nvSpPr>
        <xdr:spPr>
          <a:xfrm>
            <a:off x="603250" y="3276600"/>
            <a:ext cx="2330450" cy="736600"/>
          </a:xfrm>
          <a:prstGeom prst="roundRect">
            <a:avLst/>
          </a:prstGeom>
          <a:solidFill>
            <a:schemeClr val="accent1">
              <a:lumMod val="75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fld id="{A7C7E486-07D5-4D48-A904-BB6C92DB1FBC}" type="TxLink">
              <a:rPr lang="en-US" sz="3600" b="1" i="0" u="none" strike="noStrike">
                <a:solidFill>
                  <a:schemeClr val="bg1"/>
                </a:solidFill>
                <a:latin typeface="Aptos Narrow"/>
              </a:rPr>
              <a:t>1,5</a:t>
            </a:fld>
            <a:endParaRPr lang="es-CO" sz="7200" b="1">
              <a:solidFill>
                <a:schemeClr val="bg1"/>
              </a:solidFill>
            </a:endParaRPr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6FD27D4F-9482-98C8-02EB-860879400362}"/>
              </a:ext>
            </a:extLst>
          </xdr:cNvPr>
          <xdr:cNvSpPr txBox="1"/>
        </xdr:nvSpPr>
        <xdr:spPr>
          <a:xfrm>
            <a:off x="666750" y="3308350"/>
            <a:ext cx="2216150" cy="673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600" b="1">
                <a:solidFill>
                  <a:schemeClr val="bg1"/>
                </a:solidFill>
              </a:rPr>
              <a:t>Promedio</a:t>
            </a:r>
            <a:r>
              <a:rPr lang="es-CO" sz="1600" b="1" baseline="0">
                <a:solidFill>
                  <a:schemeClr val="bg1"/>
                </a:solidFill>
              </a:rPr>
              <a:t> de </a:t>
            </a:r>
          </a:p>
          <a:p>
            <a:r>
              <a:rPr lang="es-CO" sz="1600" b="1" baseline="0">
                <a:solidFill>
                  <a:schemeClr val="bg1"/>
                </a:solidFill>
              </a:rPr>
              <a:t>Días de permiso</a:t>
            </a:r>
            <a:endParaRPr lang="es-CO" sz="16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6</xdr:col>
      <xdr:colOff>253999</xdr:colOff>
      <xdr:row>0</xdr:row>
      <xdr:rowOff>141111</xdr:rowOff>
    </xdr:from>
    <xdr:to>
      <xdr:col>11</xdr:col>
      <xdr:colOff>712611</xdr:colOff>
      <xdr:row>11</xdr:row>
      <xdr:rowOff>7055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62EF6085-D37A-4813-B780-ECECB1FF4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112889</xdr:colOff>
      <xdr:row>11</xdr:row>
      <xdr:rowOff>141111</xdr:rowOff>
    </xdr:from>
    <xdr:to>
      <xdr:col>6</xdr:col>
      <xdr:colOff>112889</xdr:colOff>
      <xdr:row>21</xdr:row>
      <xdr:rowOff>63500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A06B7D5C-8913-4DFD-99AA-FAB846AFB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112888</xdr:colOff>
      <xdr:row>0</xdr:row>
      <xdr:rowOff>141111</xdr:rowOff>
    </xdr:from>
    <xdr:to>
      <xdr:col>6</xdr:col>
      <xdr:colOff>119943</xdr:colOff>
      <xdr:row>11</xdr:row>
      <xdr:rowOff>14111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DF9A04EC-3E5B-451E-87DF-515A1CD48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218722</xdr:colOff>
      <xdr:row>22</xdr:row>
      <xdr:rowOff>32456</xdr:rowOff>
    </xdr:from>
    <xdr:to>
      <xdr:col>6</xdr:col>
      <xdr:colOff>112889</xdr:colOff>
      <xdr:row>25</xdr:row>
      <xdr:rowOff>170745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028F08D0-635D-4232-9ADE-DE76B0146AC4}"/>
            </a:ext>
          </a:extLst>
        </xdr:cNvPr>
        <xdr:cNvGrpSpPr/>
      </xdr:nvGrpSpPr>
      <xdr:grpSpPr>
        <a:xfrm>
          <a:off x="2504722" y="4068234"/>
          <a:ext cx="2180167" cy="688622"/>
          <a:chOff x="603250" y="3276600"/>
          <a:chExt cx="2330450" cy="736600"/>
        </a:xfrm>
      </xdr:grpSpPr>
      <xdr:sp macro="" textlink="Informe!B5">
        <xdr:nvSpPr>
          <xdr:cNvPr id="23" name="Rectángulo: esquinas redondeadas 22">
            <a:extLst>
              <a:ext uri="{FF2B5EF4-FFF2-40B4-BE49-F238E27FC236}">
                <a16:creationId xmlns:a16="http://schemas.microsoft.com/office/drawing/2014/main" id="{216050E2-3E1B-AC3A-6AC6-1112BFE31A5A}"/>
              </a:ext>
            </a:extLst>
          </xdr:cNvPr>
          <xdr:cNvSpPr/>
        </xdr:nvSpPr>
        <xdr:spPr>
          <a:xfrm>
            <a:off x="603250" y="3276600"/>
            <a:ext cx="2330450" cy="736600"/>
          </a:xfrm>
          <a:prstGeom prst="roundRect">
            <a:avLst/>
          </a:prstGeom>
          <a:solidFill>
            <a:schemeClr val="accent1">
              <a:lumMod val="75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fld id="{3BAAC33A-8FA1-4756-A88B-B296062E2826}" type="TxLink">
              <a:rPr lang="en-US" sz="3600" b="1" i="0" u="none" strike="noStrike">
                <a:solidFill>
                  <a:schemeClr val="bg1"/>
                </a:solidFill>
                <a:latin typeface="Aptos Narrow"/>
              </a:rPr>
              <a:t>24</a:t>
            </a:fld>
            <a:endParaRPr lang="es-CO" sz="19900" b="1">
              <a:solidFill>
                <a:schemeClr val="bg1"/>
              </a:solidFill>
            </a:endParaRPr>
          </a:p>
        </xdr:txBody>
      </xdr: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7A7A09D6-96C3-F848-37C4-04758FC26A0D}"/>
              </a:ext>
            </a:extLst>
          </xdr:cNvPr>
          <xdr:cNvSpPr txBox="1"/>
        </xdr:nvSpPr>
        <xdr:spPr>
          <a:xfrm>
            <a:off x="666750" y="3308350"/>
            <a:ext cx="2216150" cy="673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600" b="1">
                <a:solidFill>
                  <a:schemeClr val="bg1"/>
                </a:solidFill>
              </a:rPr>
              <a:t>Numero de </a:t>
            </a:r>
          </a:p>
          <a:p>
            <a:r>
              <a:rPr lang="es-CO" sz="1600" b="1">
                <a:solidFill>
                  <a:schemeClr val="bg1"/>
                </a:solidFill>
              </a:rPr>
              <a:t>Solicitudes</a:t>
            </a:r>
          </a:p>
        </xdr:txBody>
      </xdr:sp>
    </xdr:grpSp>
    <xdr:clientData/>
  </xdr:twoCellAnchor>
  <xdr:twoCellAnchor>
    <xdr:from>
      <xdr:col>0</xdr:col>
      <xdr:colOff>149577</xdr:colOff>
      <xdr:row>22</xdr:row>
      <xdr:rowOff>15523</xdr:rowOff>
    </xdr:from>
    <xdr:to>
      <xdr:col>3</xdr:col>
      <xdr:colOff>84666</xdr:colOff>
      <xdr:row>25</xdr:row>
      <xdr:rowOff>153812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B48FE7F4-B623-418A-981C-477B808954B2}"/>
            </a:ext>
          </a:extLst>
        </xdr:cNvPr>
        <xdr:cNvGrpSpPr/>
      </xdr:nvGrpSpPr>
      <xdr:grpSpPr>
        <a:xfrm>
          <a:off x="149577" y="4051301"/>
          <a:ext cx="2221089" cy="688622"/>
          <a:chOff x="603250" y="3276600"/>
          <a:chExt cx="2330450" cy="736600"/>
        </a:xfrm>
      </xdr:grpSpPr>
      <xdr:sp macro="" textlink="Informe!B4">
        <xdr:nvSpPr>
          <xdr:cNvPr id="26" name="Rectángulo: esquinas redondeadas 25">
            <a:extLst>
              <a:ext uri="{FF2B5EF4-FFF2-40B4-BE49-F238E27FC236}">
                <a16:creationId xmlns:a16="http://schemas.microsoft.com/office/drawing/2014/main" id="{CF7BB403-2716-F152-582A-A8828F2E8B67}"/>
              </a:ext>
            </a:extLst>
          </xdr:cNvPr>
          <xdr:cNvSpPr/>
        </xdr:nvSpPr>
        <xdr:spPr>
          <a:xfrm>
            <a:off x="603250" y="3276600"/>
            <a:ext cx="2330450" cy="736600"/>
          </a:xfrm>
          <a:prstGeom prst="roundRect">
            <a:avLst/>
          </a:prstGeom>
          <a:solidFill>
            <a:schemeClr val="accent1">
              <a:lumMod val="75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fld id="{F7724190-2E77-4130-AF8F-FE2590B07A1E}" type="TxLink">
              <a:rPr lang="en-US" sz="3600" b="1" i="0" u="none" strike="noStrike">
                <a:solidFill>
                  <a:schemeClr val="bg1"/>
                </a:solidFill>
                <a:latin typeface="Aptos Narrow"/>
              </a:rPr>
              <a:t>36</a:t>
            </a:fld>
            <a:endParaRPr lang="es-CO" sz="102800" b="1">
              <a:solidFill>
                <a:schemeClr val="bg1"/>
              </a:solidFill>
            </a:endParaRPr>
          </a:p>
        </xdr:txBody>
      </xdr:sp>
      <xdr:sp macro="" textlink="">
        <xdr:nvSpPr>
          <xdr:cNvPr id="27" name="CuadroTexto 26">
            <a:extLst>
              <a:ext uri="{FF2B5EF4-FFF2-40B4-BE49-F238E27FC236}">
                <a16:creationId xmlns:a16="http://schemas.microsoft.com/office/drawing/2014/main" id="{84F4521A-EA32-4B66-D609-E6FCE123AE3C}"/>
              </a:ext>
            </a:extLst>
          </xdr:cNvPr>
          <xdr:cNvSpPr txBox="1"/>
        </xdr:nvSpPr>
        <xdr:spPr>
          <a:xfrm>
            <a:off x="666750" y="3308350"/>
            <a:ext cx="2216150" cy="673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600" b="1">
                <a:solidFill>
                  <a:schemeClr val="bg1"/>
                </a:solidFill>
              </a:rPr>
              <a:t>Total de días</a:t>
            </a:r>
          </a:p>
          <a:p>
            <a:r>
              <a:rPr lang="es-CO" sz="1600" b="1">
                <a:solidFill>
                  <a:schemeClr val="bg1"/>
                </a:solidFill>
              </a:rPr>
              <a:t>de</a:t>
            </a:r>
            <a:r>
              <a:rPr lang="es-CO" sz="1600" b="1" baseline="0">
                <a:solidFill>
                  <a:schemeClr val="bg1"/>
                </a:solidFill>
              </a:rPr>
              <a:t> permiso</a:t>
            </a:r>
            <a:endParaRPr lang="es-CO" sz="16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6</xdr:col>
      <xdr:colOff>254000</xdr:colOff>
      <xdr:row>11</xdr:row>
      <xdr:rowOff>148167</xdr:rowOff>
    </xdr:from>
    <xdr:to>
      <xdr:col>11</xdr:col>
      <xdr:colOff>719667</xdr:colOff>
      <xdr:row>26</xdr:row>
      <xdr:rowOff>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EB71833A-E097-4AA7-B3BA-9106E3D5F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98778</xdr:colOff>
      <xdr:row>0</xdr:row>
      <xdr:rowOff>127000</xdr:rowOff>
    </xdr:from>
    <xdr:to>
      <xdr:col>16</xdr:col>
      <xdr:colOff>663222</xdr:colOff>
      <xdr:row>21</xdr:row>
      <xdr:rowOff>141111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0" name="Gráfico 29">
              <a:extLst>
                <a:ext uri="{FF2B5EF4-FFF2-40B4-BE49-F238E27FC236}">
                  <a16:creationId xmlns:a16="http://schemas.microsoft.com/office/drawing/2014/main" id="{AB787022-CCD1-43FF-83DF-584AB78F3D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42778" y="127000"/>
              <a:ext cx="3612444" cy="38664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63C552-6119-44CA-BE56-26398FC8D90C}" name="Empleados" displayName="Empleados" ref="A1:D11" totalsRowShown="0">
  <autoFilter ref="A1:D11" xr:uid="{5163C552-6119-44CA-BE56-26398FC8D90C}"/>
  <tableColumns count="4">
    <tableColumn id="1" xr3:uid="{4815D61E-A6F0-42AB-9381-E88D80B7DD2F}" name="ID_Empleado"/>
    <tableColumn id="2" xr3:uid="{45E6CCF9-B4DE-49EE-819C-6A492FCEEE66}" name="Nombre"/>
    <tableColumn id="3" xr3:uid="{3ADF533F-DDB4-4ADF-ABD6-197A2F0A9650}" name="Cargo"/>
    <tableColumn id="4" xr3:uid="{8B4C12D5-D385-4615-8BE0-370AC65F07C9}" name="ID_Are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4B0262-8A0C-4B2C-A84C-9FDEA8E11782}" name="Areas" displayName="Areas" ref="B2:C6" totalsRowShown="0">
  <autoFilter ref="B2:C6" xr:uid="{E44B0262-8A0C-4B2C-A84C-9FDEA8E11782}"/>
  <tableColumns count="2">
    <tableColumn id="1" xr3:uid="{44C3A8BB-69DC-4E08-AF75-F31BAF8F4139}" name="ID_Area"/>
    <tableColumn id="2" xr3:uid="{718BE6BC-42D7-4E4F-9678-14AB2706F6BB}" name="Áre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C9CF0F-CEC3-46AE-851F-5B8BA8A4766C}" name="Tipopermiso" displayName="Tipopermiso" ref="A1:B5" totalsRowShown="0">
  <autoFilter ref="A1:B5" xr:uid="{63C9CF0F-CEC3-46AE-851F-5B8BA8A4766C}"/>
  <tableColumns count="2">
    <tableColumn id="1" xr3:uid="{4068C976-43E8-4108-845D-BDC27A6D65AA}" name="ID_TipoPermiso"/>
    <tableColumn id="2" xr3:uid="{CAC89DC7-3A17-4BBF-96A5-83184C3239BA}" name="Tipo_Permis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C7308B-22AE-469E-808F-5FB97C8FA7D6}" name="Permisos" displayName="Permisos" ref="B1:K25" totalsRowShown="0">
  <autoFilter ref="B1:K25" xr:uid="{84C7308B-22AE-469E-808F-5FB97C8FA7D6}"/>
  <tableColumns count="10">
    <tableColumn id="1" xr3:uid="{DAC92C4C-5D17-435C-A49F-AB516A5ECDDD}" name="ID_Permiso"/>
    <tableColumn id="2" xr3:uid="{6092D3CF-6200-4346-9A63-900C9223DEAF}" name="Fecha" dataDxfId="9"/>
    <tableColumn id="3" xr3:uid="{719F0A96-4336-4FD7-83FE-CC395A062FD4}" name="ID_Empleado"/>
    <tableColumn id="7" xr3:uid="{52307400-1A48-4508-B263-63FF52405633}" name="Nombre empleado" dataDxfId="0">
      <calculatedColumnFormula>VLOOKUP(Permisos[[#This Row],[ID_Empleado]],Empleados[],2)</calculatedColumnFormula>
    </tableColumn>
    <tableColumn id="8" xr3:uid="{5F3DB392-59D0-4218-B8D4-CDA3DF870D57}" name="Cargo" dataDxfId="8">
      <calculatedColumnFormula>_xlfn.XLOOKUP(Permisos[[#This Row],[ID_Empleado]],Empleados[ID_Empleado],Empleados[Cargo])</calculatedColumnFormula>
    </tableColumn>
    <tableColumn id="9" xr3:uid="{D0EE5C32-566B-426A-B1F2-29D9C8C09313}" name="Área" dataDxfId="7">
      <calculatedColumnFormula array="1">_xlfn.XLOOKUP(Permisos[[#This Row],[ID_Empleado]],Empleados[ID_Empleado],_xlfn.XLOOKUP(Empleados[ID_Area],Areas[ID_Area],Areas[Área]))</calculatedColumnFormula>
    </tableColumn>
    <tableColumn id="4" xr3:uid="{8967DA35-CFBD-4AC7-A07F-0D035614D8E1}" name="ID_TipoPermiso"/>
    <tableColumn id="10" xr3:uid="{4F8E7049-6975-4CC1-B56A-C18DA18EBE9E}" name="Tipo Permiso" dataDxfId="6">
      <calculatedColumnFormula>_xlfn.XLOOKUP(Permisos[[#This Row],[ID_TipoPermiso]],Tipopermiso[ID_TipoPermiso],Tipopermiso[Tipo_Permiso])</calculatedColumnFormula>
    </tableColumn>
    <tableColumn id="5" xr3:uid="{8C68D26E-D6BB-46BC-8EE7-6CBB92B0E9E2}" name="Dias"/>
    <tableColumn id="6" xr3:uid="{093476CE-DFB7-486C-A20C-65C1A07E45FA}" name="Observa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397BDD0-F85F-4435-B013-E4F32C065550}" name="Tabla8" displayName="Tabla8" ref="A3:B6" totalsRowShown="0">
  <autoFilter ref="A3:B6" xr:uid="{A397BDD0-F85F-4435-B013-E4F32C065550}"/>
  <tableColumns count="2">
    <tableColumn id="1" xr3:uid="{AB001B06-4D0E-44C5-B2C8-B5835E2EEAAB}" name="Indicador"/>
    <tableColumn id="2" xr3:uid="{4C4EB677-E484-480E-AA10-C3D92C3FFD95}" name="Valor">
      <calculatedColumnFormula>COUNTA(Permisos[Nombre empleado])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DF08C57-2240-442C-A5DC-B57B4F7138BA}" name="Tabla10" displayName="Tabla10" ref="A9:C13" totalsRowShown="0">
  <autoFilter ref="A9:C13" xr:uid="{6DF08C57-2240-442C-A5DC-B57B4F7138BA}"/>
  <tableColumns count="3">
    <tableColumn id="1" xr3:uid="{77908922-96FF-4DB1-AD05-979DED653B7C}" name="Tipo de permiso"/>
    <tableColumn id="2" xr3:uid="{261A1336-46AD-4B6D-AE44-B7DF3DBF3EEB}" name="Numero de solicitudes" dataDxfId="5">
      <calculatedColumnFormula>COUNTIF(Permisos[Tipo Permiso],Tabla10[[#This Row],[Tipo de permiso]])</calculatedColumnFormula>
    </tableColumn>
    <tableColumn id="3" xr3:uid="{329506CB-BEDB-4872-AFF0-B1E56A20A410}" name="Total de dias" dataDxfId="4">
      <calculatedColumnFormula>SUMIF(Permisos[Tipo Permiso],Tabla10[[#This Row],[Tipo de permiso]],Permisos[Dias])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BFF1045-9710-4D0D-9DF4-3D8DECBCF582}" name="Tabla11" displayName="Tabla11" ref="A16:C20" totalsRowShown="0">
  <autoFilter ref="A16:C20" xr:uid="{2BFF1045-9710-4D0D-9DF4-3D8DECBCF582}"/>
  <tableColumns count="3">
    <tableColumn id="1" xr3:uid="{77D39C8C-8C42-4184-82D3-E596E6E91351}" name="Área"/>
    <tableColumn id="2" xr3:uid="{00629440-1333-4D69-B935-186729038FDC}" name="Solicitudes" dataDxfId="3">
      <calculatedColumnFormula>COUNTIF(Permisos[Área],Tabla11[[#This Row],[Área]])</calculatedColumnFormula>
    </tableColumn>
    <tableColumn id="3" xr3:uid="{E440777F-9F2F-4FDC-9C89-6A6A7C1322F4}" name="Días de permiso" dataDxfId="2">
      <calculatedColumnFormula>SUMIF(Permisos[Área],Tabla11[[#This Row],[Área]],Permisos[Dias])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10F5A6-1CCC-409D-8007-117A28FE89F9}" name="Tabla12" displayName="Tabla12" ref="A23:C33" totalsRowShown="0">
  <autoFilter ref="A23:C33" xr:uid="{3510F5A6-1CCC-409D-8007-117A28FE89F9}"/>
  <tableColumns count="3">
    <tableColumn id="1" xr3:uid="{62769E49-2D86-4272-94F4-13C690276DED}" name="Empleado" dataDxfId="1"/>
    <tableColumn id="2" xr3:uid="{141A5B4D-1C8F-412D-A161-3DE70719A3C0}" name="Solicitudes">
      <calculatedColumnFormula>COUNTIF(Permisos[Nombre empleado],A24)</calculatedColumnFormula>
    </tableColumn>
    <tableColumn id="3" xr3:uid="{159A45FE-224F-474F-9BA2-A30F027F9A56}" name="Días de permiso">
      <calculatedColumnFormula>SUMIF(Permisos[Nombre empleado],A24,Permisos[Dias])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8206-DDD5-4449-9280-AD2E44FD9DEB}">
  <dimension ref="A1:D11"/>
  <sheetViews>
    <sheetView workbookViewId="0">
      <selection activeCell="B2" sqref="B2:B11"/>
    </sheetView>
  </sheetViews>
  <sheetFormatPr baseColWidth="10" defaultRowHeight="14.5" x14ac:dyDescent="0.35"/>
  <cols>
    <col min="1" max="1" width="13.81640625" customWidth="1"/>
    <col min="2" max="2" width="14.54296875" bestFit="1" customWidth="1"/>
    <col min="3" max="3" width="25.7265625" bestFit="1" customWidth="1"/>
    <col min="4" max="4" width="9.1796875" customWidth="1"/>
  </cols>
  <sheetData>
    <row r="1" spans="1:4" x14ac:dyDescent="0.35">
      <c r="A1" t="s">
        <v>2</v>
      </c>
      <c r="B1" t="s">
        <v>48</v>
      </c>
      <c r="C1" t="s">
        <v>49</v>
      </c>
      <c r="D1" t="s">
        <v>50</v>
      </c>
    </row>
    <row r="2" spans="1:4" x14ac:dyDescent="0.35">
      <c r="A2" t="s">
        <v>7</v>
      </c>
      <c r="B2" t="s">
        <v>51</v>
      </c>
      <c r="C2" t="s">
        <v>52</v>
      </c>
      <c r="D2" t="s">
        <v>53</v>
      </c>
    </row>
    <row r="3" spans="1:4" x14ac:dyDescent="0.35">
      <c r="A3" t="s">
        <v>15</v>
      </c>
      <c r="B3" t="s">
        <v>54</v>
      </c>
      <c r="C3" t="s">
        <v>55</v>
      </c>
      <c r="D3" t="s">
        <v>56</v>
      </c>
    </row>
    <row r="4" spans="1:4" x14ac:dyDescent="0.35">
      <c r="A4" t="s">
        <v>21</v>
      </c>
      <c r="B4" t="s">
        <v>57</v>
      </c>
      <c r="C4" t="s">
        <v>58</v>
      </c>
      <c r="D4" t="s">
        <v>59</v>
      </c>
    </row>
    <row r="5" spans="1:4" x14ac:dyDescent="0.35">
      <c r="A5" t="s">
        <v>11</v>
      </c>
      <c r="B5" t="s">
        <v>60</v>
      </c>
      <c r="C5" t="s">
        <v>61</v>
      </c>
      <c r="D5" t="s">
        <v>53</v>
      </c>
    </row>
    <row r="6" spans="1:4" x14ac:dyDescent="0.35">
      <c r="A6" t="s">
        <v>27</v>
      </c>
      <c r="B6" t="s">
        <v>62</v>
      </c>
      <c r="C6" t="s">
        <v>52</v>
      </c>
      <c r="D6" t="s">
        <v>63</v>
      </c>
    </row>
    <row r="7" spans="1:4" x14ac:dyDescent="0.35">
      <c r="A7" t="s">
        <v>31</v>
      </c>
      <c r="B7" t="s">
        <v>64</v>
      </c>
      <c r="C7" t="s">
        <v>65</v>
      </c>
      <c r="D7" t="s">
        <v>56</v>
      </c>
    </row>
    <row r="8" spans="1:4" x14ac:dyDescent="0.35">
      <c r="A8" t="s">
        <v>19</v>
      </c>
      <c r="B8" t="s">
        <v>66</v>
      </c>
      <c r="C8" t="s">
        <v>52</v>
      </c>
      <c r="D8" t="s">
        <v>59</v>
      </c>
    </row>
    <row r="9" spans="1:4" x14ac:dyDescent="0.35">
      <c r="A9" t="s">
        <v>29</v>
      </c>
      <c r="B9" t="s">
        <v>67</v>
      </c>
      <c r="C9" t="s">
        <v>68</v>
      </c>
      <c r="D9" t="s">
        <v>63</v>
      </c>
    </row>
    <row r="10" spans="1:4" x14ac:dyDescent="0.35">
      <c r="A10" t="s">
        <v>25</v>
      </c>
      <c r="B10" t="s">
        <v>69</v>
      </c>
      <c r="C10" t="s">
        <v>65</v>
      </c>
      <c r="D10" t="s">
        <v>53</v>
      </c>
    </row>
    <row r="11" spans="1:4" x14ac:dyDescent="0.35">
      <c r="A11" t="s">
        <v>33</v>
      </c>
      <c r="B11" t="s">
        <v>70</v>
      </c>
      <c r="C11" t="s">
        <v>52</v>
      </c>
      <c r="D11" t="s">
        <v>56</v>
      </c>
    </row>
  </sheetData>
  <pageMargins left="0.7" right="0.7" top="0.75" bottom="0.75" header="0.3" footer="0.3"/>
  <headerFooter>
    <oddHeader>&amp;L&amp;"Aptos"&amp;6&amp;K0000FF Documento/Email Para uso compartido Público&amp;1#_x000D_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361E-3E11-4AC4-980C-ADD50399349F}">
  <dimension ref="B2:C6"/>
  <sheetViews>
    <sheetView workbookViewId="0">
      <selection activeCell="E17" sqref="E17"/>
    </sheetView>
  </sheetViews>
  <sheetFormatPr baseColWidth="10" defaultRowHeight="14.5" x14ac:dyDescent="0.35"/>
  <cols>
    <col min="2" max="2" width="9.1796875" customWidth="1"/>
    <col min="3" max="3" width="21.26953125" bestFit="1" customWidth="1"/>
  </cols>
  <sheetData>
    <row r="2" spans="2:3" x14ac:dyDescent="0.35">
      <c r="B2" t="s">
        <v>50</v>
      </c>
      <c r="C2" t="s">
        <v>71</v>
      </c>
    </row>
    <row r="3" spans="2:3" x14ac:dyDescent="0.35">
      <c r="B3" t="s">
        <v>53</v>
      </c>
      <c r="C3" t="s">
        <v>72</v>
      </c>
    </row>
    <row r="4" spans="2:3" x14ac:dyDescent="0.35">
      <c r="B4" t="s">
        <v>56</v>
      </c>
      <c r="C4" t="s">
        <v>73</v>
      </c>
    </row>
    <row r="5" spans="2:3" x14ac:dyDescent="0.35">
      <c r="B5" t="s">
        <v>59</v>
      </c>
      <c r="C5" t="s">
        <v>74</v>
      </c>
    </row>
    <row r="6" spans="2:3" x14ac:dyDescent="0.35">
      <c r="B6" t="s">
        <v>63</v>
      </c>
      <c r="C6" t="s">
        <v>75</v>
      </c>
    </row>
  </sheetData>
  <pageMargins left="0.7" right="0.7" top="0.75" bottom="0.75" header="0.3" footer="0.3"/>
  <headerFooter>
    <oddHeader>&amp;L&amp;"Aptos"&amp;6&amp;K0000FF Documento/Email Para uso compartido Público&amp;1#_x000D_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91D97-F751-4C83-A409-6A21AF5FCA27}">
  <dimension ref="A1:B5"/>
  <sheetViews>
    <sheetView workbookViewId="0">
      <selection sqref="A1:B5"/>
    </sheetView>
  </sheetViews>
  <sheetFormatPr baseColWidth="10" defaultRowHeight="14.5" x14ac:dyDescent="0.35"/>
  <cols>
    <col min="1" max="1" width="15.81640625" customWidth="1"/>
    <col min="2" max="2" width="18.26953125" bestFit="1" customWidth="1"/>
  </cols>
  <sheetData>
    <row r="1" spans="1:2" x14ac:dyDescent="0.35">
      <c r="A1" t="s">
        <v>3</v>
      </c>
      <c r="B1" t="s">
        <v>76</v>
      </c>
    </row>
    <row r="2" spans="1:2" x14ac:dyDescent="0.35">
      <c r="A2" t="s">
        <v>8</v>
      </c>
      <c r="B2" t="s">
        <v>9</v>
      </c>
    </row>
    <row r="3" spans="1:2" x14ac:dyDescent="0.35">
      <c r="A3" t="s">
        <v>12</v>
      </c>
      <c r="B3" t="s">
        <v>13</v>
      </c>
    </row>
    <row r="4" spans="1:2" x14ac:dyDescent="0.35">
      <c r="A4" t="s">
        <v>16</v>
      </c>
      <c r="B4" t="s">
        <v>17</v>
      </c>
    </row>
    <row r="5" spans="1:2" x14ac:dyDescent="0.35">
      <c r="A5" t="s">
        <v>22</v>
      </c>
      <c r="B5" t="s">
        <v>23</v>
      </c>
    </row>
  </sheetData>
  <pageMargins left="0.7" right="0.7" top="0.75" bottom="0.75" header="0.3" footer="0.3"/>
  <headerFooter>
    <oddHeader>&amp;L&amp;"Aptos"&amp;6&amp;K0000FF Documento/Email Para uso compartido Público&amp;1#_x000D_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D8AF-B415-4413-B960-22DD17735A70}">
  <dimension ref="B1:K25"/>
  <sheetViews>
    <sheetView workbookViewId="0">
      <selection activeCell="E3" sqref="E3"/>
    </sheetView>
  </sheetViews>
  <sheetFormatPr baseColWidth="10" defaultRowHeight="14.5" x14ac:dyDescent="0.35"/>
  <cols>
    <col min="2" max="2" width="12.26953125" customWidth="1"/>
    <col min="3" max="3" width="10.453125" bestFit="1" customWidth="1"/>
    <col min="4" max="4" width="13.81640625" customWidth="1"/>
    <col min="5" max="5" width="18.54296875" bestFit="1" customWidth="1"/>
    <col min="6" max="6" width="23" bestFit="1" customWidth="1"/>
    <col min="7" max="7" width="19.1796875" bestFit="1" customWidth="1"/>
    <col min="8" max="8" width="16.08984375" bestFit="1" customWidth="1"/>
    <col min="11" max="11" width="16.08984375" bestFit="1" customWidth="1"/>
  </cols>
  <sheetData>
    <row r="1" spans="2:11" x14ac:dyDescent="0.35">
      <c r="B1" t="s">
        <v>0</v>
      </c>
      <c r="C1" t="s">
        <v>1</v>
      </c>
      <c r="D1" t="s">
        <v>2</v>
      </c>
      <c r="E1" t="s">
        <v>77</v>
      </c>
      <c r="F1" t="s">
        <v>49</v>
      </c>
      <c r="G1" t="s">
        <v>71</v>
      </c>
      <c r="H1" t="s">
        <v>3</v>
      </c>
      <c r="I1" t="s">
        <v>78</v>
      </c>
      <c r="J1" t="s">
        <v>4</v>
      </c>
      <c r="K1" t="s">
        <v>5</v>
      </c>
    </row>
    <row r="2" spans="2:11" x14ac:dyDescent="0.35">
      <c r="B2" t="s">
        <v>6</v>
      </c>
      <c r="C2" s="1">
        <v>46208</v>
      </c>
      <c r="D2" t="s">
        <v>7</v>
      </c>
      <c r="E2" t="str">
        <f>VLOOKUP(Permisos[[#This Row],[ID_Empleado]],Empleados[],2)</f>
        <v>Ana Torres</v>
      </c>
      <c r="F2" t="str">
        <f>_xlfn.XLOOKUP(Permisos[[#This Row],[ID_Empleado]],Empleados[ID_Empleado],Empleados[Cargo])</f>
        <v>Auxiliar Administrativo</v>
      </c>
      <c r="G2" t="str" cm="1">
        <f t="array" ref="G2">_xlfn.XLOOKUP(Permisos[[#This Row],[ID_Empleado]],Empleados[ID_Empleado],_xlfn.XLOOKUP(Empleados[ID_Area],Areas[ID_Area],Areas[Área]))</f>
        <v>Gestión Administrativa</v>
      </c>
      <c r="H2" t="s">
        <v>8</v>
      </c>
      <c r="I2" t="str">
        <f>_xlfn.XLOOKUP(Permisos[[#This Row],[ID_TipoPermiso]],Tipopermiso[ID_TipoPermiso],Tipopermiso[Tipo_Permiso])</f>
        <v>Cita médica</v>
      </c>
      <c r="J2">
        <v>1</v>
      </c>
      <c r="K2" t="s">
        <v>9</v>
      </c>
    </row>
    <row r="3" spans="2:11" x14ac:dyDescent="0.35">
      <c r="B3" t="s">
        <v>10</v>
      </c>
      <c r="C3" s="1">
        <v>46210</v>
      </c>
      <c r="D3" t="s">
        <v>11</v>
      </c>
      <c r="E3" t="str">
        <f>VLOOKUP(Permisos[[#This Row],[ID_Empleado]],Empleados[],2)</f>
        <v>Felipe Castro</v>
      </c>
      <c r="F3" t="str">
        <f>_xlfn.XLOOKUP(Permisos[[#This Row],[ID_Empleado]],Empleados[ID_Empleado],Empleados[Cargo])</f>
        <v>Coordinador Administrativo</v>
      </c>
      <c r="G3" t="str" cm="1">
        <f t="array" ref="G3">_xlfn.XLOOKUP(Permisos[[#This Row],[ID_Empleado]],Empleados[ID_Empleado],_xlfn.XLOOKUP(Empleados[ID_Area],Areas[ID_Area],Areas[Área]))</f>
        <v>Gestión Administrativa</v>
      </c>
      <c r="H3" t="s">
        <v>12</v>
      </c>
      <c r="I3" t="str">
        <f>_xlfn.XLOOKUP(Permisos[[#This Row],[ID_TipoPermiso]],Tipopermiso[ID_TipoPermiso],Tipopermiso[Tipo_Permiso])</f>
        <v>Calamidad familiar</v>
      </c>
      <c r="J3">
        <v>2</v>
      </c>
      <c r="K3" t="s">
        <v>13</v>
      </c>
    </row>
    <row r="4" spans="2:11" x14ac:dyDescent="0.35">
      <c r="B4" t="s">
        <v>14</v>
      </c>
      <c r="C4" s="1">
        <v>46212</v>
      </c>
      <c r="D4" t="s">
        <v>15</v>
      </c>
      <c r="E4" t="str">
        <f>VLOOKUP(Permisos[[#This Row],[ID_Empleado]],Empleados[],2)</f>
        <v>Carlos Ruiz</v>
      </c>
      <c r="F4" t="str">
        <f>_xlfn.XLOOKUP(Permisos[[#This Row],[ID_Empleado]],Empleados[ID_Empleado],Empleados[Cargo])</f>
        <v>Analista Administrativo</v>
      </c>
      <c r="G4" t="str" cm="1">
        <f t="array" ref="G4">_xlfn.XLOOKUP(Permisos[[#This Row],[ID_Empleado]],Empleados[ID_Empleado],_xlfn.XLOOKUP(Empleados[ID_Area],Areas[ID_Area],Areas[Área]))</f>
        <v>Recursos Humanos</v>
      </c>
      <c r="H4" t="s">
        <v>16</v>
      </c>
      <c r="I4" t="str">
        <f>_xlfn.XLOOKUP(Permisos[[#This Row],[ID_TipoPermiso]],Tipopermiso[ID_TipoPermiso],Tipopermiso[Tipo_Permiso])</f>
        <v>Asunto personal</v>
      </c>
      <c r="J4">
        <v>1</v>
      </c>
      <c r="K4" t="s">
        <v>17</v>
      </c>
    </row>
    <row r="5" spans="2:11" x14ac:dyDescent="0.35">
      <c r="B5" t="s">
        <v>18</v>
      </c>
      <c r="C5" s="1">
        <v>46215</v>
      </c>
      <c r="D5" t="s">
        <v>19</v>
      </c>
      <c r="E5" t="str">
        <f>VLOOKUP(Permisos[[#This Row],[ID_Empleado]],Empleados[],2)</f>
        <v>Sandra López</v>
      </c>
      <c r="F5" t="str">
        <f>_xlfn.XLOOKUP(Permisos[[#This Row],[ID_Empleado]],Empleados[ID_Empleado],Empleados[Cargo])</f>
        <v>Auxiliar Administrativo</v>
      </c>
      <c r="G5" t="str" cm="1">
        <f t="array" ref="G5">_xlfn.XLOOKUP(Permisos[[#This Row],[ID_Empleado]],Empleados[ID_Empleado],_xlfn.XLOOKUP(Empleados[ID_Area],Areas[ID_Area],Areas[Área]))</f>
        <v>Gestión Documental</v>
      </c>
      <c r="H5" t="s">
        <v>8</v>
      </c>
      <c r="I5" t="str">
        <f>_xlfn.XLOOKUP(Permisos[[#This Row],[ID_TipoPermiso]],Tipopermiso[ID_TipoPermiso],Tipopermiso[Tipo_Permiso])</f>
        <v>Cita médica</v>
      </c>
      <c r="J5">
        <v>1</v>
      </c>
      <c r="K5" t="s">
        <v>9</v>
      </c>
    </row>
    <row r="6" spans="2:11" x14ac:dyDescent="0.35">
      <c r="B6" t="s">
        <v>20</v>
      </c>
      <c r="C6" s="1">
        <v>46218</v>
      </c>
      <c r="D6" t="s">
        <v>21</v>
      </c>
      <c r="E6" t="str">
        <f>VLOOKUP(Permisos[[#This Row],[ID_Empleado]],Empleados[],2)</f>
        <v>Diana Gómez</v>
      </c>
      <c r="F6" t="str">
        <f>_xlfn.XLOOKUP(Permisos[[#This Row],[ID_Empleado]],Empleados[ID_Empleado],Empleados[Cargo])</f>
        <v>Auxiliar de Archivo</v>
      </c>
      <c r="G6" t="str" cm="1">
        <f t="array" ref="G6">_xlfn.XLOOKUP(Permisos[[#This Row],[ID_Empleado]],Empleados[ID_Empleado],_xlfn.XLOOKUP(Empleados[ID_Area],Areas[ID_Area],Areas[Área]))</f>
        <v>Gestión Documental</v>
      </c>
      <c r="H6" t="s">
        <v>22</v>
      </c>
      <c r="I6" t="str">
        <f>_xlfn.XLOOKUP(Permisos[[#This Row],[ID_TipoPermiso]],Tipopermiso[ID_TipoPermiso],Tipopermiso[Tipo_Permiso])</f>
        <v>Capacitación</v>
      </c>
      <c r="J6">
        <v>3</v>
      </c>
      <c r="K6" t="s">
        <v>23</v>
      </c>
    </row>
    <row r="7" spans="2:11" x14ac:dyDescent="0.35">
      <c r="B7" t="s">
        <v>24</v>
      </c>
      <c r="C7" s="1">
        <v>46221</v>
      </c>
      <c r="D7" t="s">
        <v>25</v>
      </c>
      <c r="E7" t="str">
        <f>VLOOKUP(Permisos[[#This Row],[ID_Empleado]],Empleados[],2)</f>
        <v>Mónica Herrera</v>
      </c>
      <c r="F7" t="str">
        <f>_xlfn.XLOOKUP(Permisos[[#This Row],[ID_Empleado]],Empleados[ID_Empleado],Empleados[Cargo])</f>
        <v>Técnico Administrativo</v>
      </c>
      <c r="G7" t="str" cm="1">
        <f t="array" ref="G7">_xlfn.XLOOKUP(Permisos[[#This Row],[ID_Empleado]],Empleados[ID_Empleado],_xlfn.XLOOKUP(Empleados[ID_Area],Areas[ID_Area],Areas[Área]))</f>
        <v>Gestión Administrativa</v>
      </c>
      <c r="H7" t="s">
        <v>12</v>
      </c>
      <c r="I7" t="str">
        <f>_xlfn.XLOOKUP(Permisos[[#This Row],[ID_TipoPermiso]],Tipopermiso[ID_TipoPermiso],Tipopermiso[Tipo_Permiso])</f>
        <v>Calamidad familiar</v>
      </c>
      <c r="J7">
        <v>1</v>
      </c>
      <c r="K7" t="s">
        <v>13</v>
      </c>
    </row>
    <row r="8" spans="2:11" x14ac:dyDescent="0.35">
      <c r="B8" t="s">
        <v>26</v>
      </c>
      <c r="C8" s="1">
        <v>46224</v>
      </c>
      <c r="D8" t="s">
        <v>27</v>
      </c>
      <c r="E8" t="str">
        <f>VLOOKUP(Permisos[[#This Row],[ID_Empleado]],Empleados[],2)</f>
        <v>Laura Martínez</v>
      </c>
      <c r="F8" t="str">
        <f>_xlfn.XLOOKUP(Permisos[[#This Row],[ID_Empleado]],Empleados[ID_Empleado],Empleados[Cargo])</f>
        <v>Auxiliar Administrativo</v>
      </c>
      <c r="G8" t="str" cm="1">
        <f t="array" ref="G8">_xlfn.XLOOKUP(Permisos[[#This Row],[ID_Empleado]],Empleados[ID_Empleado],_xlfn.XLOOKUP(Empleados[ID_Area],Areas[ID_Area],Areas[Área]))</f>
        <v>Atención al Usuario</v>
      </c>
      <c r="H8" t="s">
        <v>16</v>
      </c>
      <c r="I8" t="str">
        <f>_xlfn.XLOOKUP(Permisos[[#This Row],[ID_TipoPermiso]],Tipopermiso[ID_TipoPermiso],Tipopermiso[Tipo_Permiso])</f>
        <v>Asunto personal</v>
      </c>
      <c r="J8">
        <v>2</v>
      </c>
      <c r="K8" t="s">
        <v>17</v>
      </c>
    </row>
    <row r="9" spans="2:11" x14ac:dyDescent="0.35">
      <c r="B9" t="s">
        <v>28</v>
      </c>
      <c r="C9" s="1">
        <v>46228</v>
      </c>
      <c r="D9" t="s">
        <v>29</v>
      </c>
      <c r="E9" t="str">
        <f>VLOOKUP(Permisos[[#This Row],[ID_Empleado]],Empleados[],2)</f>
        <v>Juan Rodríguez</v>
      </c>
      <c r="F9" t="str">
        <f>_xlfn.XLOOKUP(Permisos[[#This Row],[ID_Empleado]],Empleados[ID_Empleado],Empleados[Cargo])</f>
        <v>Asistente Administrativo</v>
      </c>
      <c r="G9" t="str" cm="1">
        <f t="array" ref="G9">_xlfn.XLOOKUP(Permisos[[#This Row],[ID_Empleado]],Empleados[ID_Empleado],_xlfn.XLOOKUP(Empleados[ID_Area],Areas[ID_Area],Areas[Área]))</f>
        <v>Atención al Usuario</v>
      </c>
      <c r="H9" t="s">
        <v>8</v>
      </c>
      <c r="I9" t="str">
        <f>_xlfn.XLOOKUP(Permisos[[#This Row],[ID_TipoPermiso]],Tipopermiso[ID_TipoPermiso],Tipopermiso[Tipo_Permiso])</f>
        <v>Cita médica</v>
      </c>
      <c r="J9">
        <v>1</v>
      </c>
      <c r="K9" t="s">
        <v>9</v>
      </c>
    </row>
    <row r="10" spans="2:11" x14ac:dyDescent="0.35">
      <c r="B10" t="s">
        <v>30</v>
      </c>
      <c r="C10" s="1">
        <v>46232</v>
      </c>
      <c r="D10" t="s">
        <v>31</v>
      </c>
      <c r="E10" t="str">
        <f>VLOOKUP(Permisos[[#This Row],[ID_Empleado]],Empleados[],2)</f>
        <v>Andrés Pérez</v>
      </c>
      <c r="F10" t="str">
        <f>_xlfn.XLOOKUP(Permisos[[#This Row],[ID_Empleado]],Empleados[ID_Empleado],Empleados[Cargo])</f>
        <v>Técnico Administrativo</v>
      </c>
      <c r="G10" t="str" cm="1">
        <f t="array" ref="G10">_xlfn.XLOOKUP(Permisos[[#This Row],[ID_Empleado]],Empleados[ID_Empleado],_xlfn.XLOOKUP(Empleados[ID_Area],Areas[ID_Area],Areas[Área]))</f>
        <v>Recursos Humanos</v>
      </c>
      <c r="H10" t="s">
        <v>22</v>
      </c>
      <c r="I10" t="str">
        <f>_xlfn.XLOOKUP(Permisos[[#This Row],[ID_TipoPermiso]],Tipopermiso[ID_TipoPermiso],Tipopermiso[Tipo_Permiso])</f>
        <v>Capacitación</v>
      </c>
      <c r="J10">
        <v>2</v>
      </c>
      <c r="K10" t="s">
        <v>23</v>
      </c>
    </row>
    <row r="11" spans="2:11" x14ac:dyDescent="0.35">
      <c r="B11" t="s">
        <v>32</v>
      </c>
      <c r="C11" s="1">
        <v>46236</v>
      </c>
      <c r="D11" t="s">
        <v>33</v>
      </c>
      <c r="E11" t="str">
        <f>VLOOKUP(Permisos[[#This Row],[ID_Empleado]],Empleados[],2)</f>
        <v>David Moreno</v>
      </c>
      <c r="F11" t="str">
        <f>_xlfn.XLOOKUP(Permisos[[#This Row],[ID_Empleado]],Empleados[ID_Empleado],Empleados[Cargo])</f>
        <v>Auxiliar Administrativo</v>
      </c>
      <c r="G11" t="str" cm="1">
        <f t="array" ref="G11">_xlfn.XLOOKUP(Permisos[[#This Row],[ID_Empleado]],Empleados[ID_Empleado],_xlfn.XLOOKUP(Empleados[ID_Area],Areas[ID_Area],Areas[Área]))</f>
        <v>Recursos Humanos</v>
      </c>
      <c r="H11" t="s">
        <v>16</v>
      </c>
      <c r="I11" t="str">
        <f>_xlfn.XLOOKUP(Permisos[[#This Row],[ID_TipoPermiso]],Tipopermiso[ID_TipoPermiso],Tipopermiso[Tipo_Permiso])</f>
        <v>Asunto personal</v>
      </c>
      <c r="J11">
        <v>1</v>
      </c>
      <c r="K11" t="s">
        <v>17</v>
      </c>
    </row>
    <row r="12" spans="2:11" x14ac:dyDescent="0.35">
      <c r="B12" t="s">
        <v>34</v>
      </c>
      <c r="C12" s="1">
        <v>46238</v>
      </c>
      <c r="D12" t="s">
        <v>7</v>
      </c>
      <c r="E12" t="str">
        <f>VLOOKUP(Permisos[[#This Row],[ID_Empleado]],Empleados[],2)</f>
        <v>Ana Torres</v>
      </c>
      <c r="F12" t="str">
        <f>_xlfn.XLOOKUP(Permisos[[#This Row],[ID_Empleado]],Empleados[ID_Empleado],Empleados[Cargo])</f>
        <v>Auxiliar Administrativo</v>
      </c>
      <c r="G12" t="str" cm="1">
        <f t="array" ref="G12">_xlfn.XLOOKUP(Permisos[[#This Row],[ID_Empleado]],Empleados[ID_Empleado],_xlfn.XLOOKUP(Empleados[ID_Area],Areas[ID_Area],Areas[Área]))</f>
        <v>Gestión Administrativa</v>
      </c>
      <c r="H12" t="s">
        <v>8</v>
      </c>
      <c r="I12" t="str">
        <f>_xlfn.XLOOKUP(Permisos[[#This Row],[ID_TipoPermiso]],Tipopermiso[ID_TipoPermiso],Tipopermiso[Tipo_Permiso])</f>
        <v>Cita médica</v>
      </c>
      <c r="J12">
        <v>1</v>
      </c>
      <c r="K12" t="s">
        <v>9</v>
      </c>
    </row>
    <row r="13" spans="2:11" x14ac:dyDescent="0.35">
      <c r="B13" t="s">
        <v>35</v>
      </c>
      <c r="C13" s="1">
        <v>46242</v>
      </c>
      <c r="D13" t="s">
        <v>11</v>
      </c>
      <c r="E13" t="str">
        <f>VLOOKUP(Permisos[[#This Row],[ID_Empleado]],Empleados[],2)</f>
        <v>Felipe Castro</v>
      </c>
      <c r="F13" t="str">
        <f>_xlfn.XLOOKUP(Permisos[[#This Row],[ID_Empleado]],Empleados[ID_Empleado],Empleados[Cargo])</f>
        <v>Coordinador Administrativo</v>
      </c>
      <c r="G13" t="str" cm="1">
        <f t="array" ref="G13">_xlfn.XLOOKUP(Permisos[[#This Row],[ID_Empleado]],Empleados[ID_Empleado],_xlfn.XLOOKUP(Empleados[ID_Area],Areas[ID_Area],Areas[Área]))</f>
        <v>Gestión Administrativa</v>
      </c>
      <c r="H13" t="s">
        <v>12</v>
      </c>
      <c r="I13" t="str">
        <f>_xlfn.XLOOKUP(Permisos[[#This Row],[ID_TipoPermiso]],Tipopermiso[ID_TipoPermiso],Tipopermiso[Tipo_Permiso])</f>
        <v>Calamidad familiar</v>
      </c>
      <c r="J13">
        <v>3</v>
      </c>
      <c r="K13" t="s">
        <v>13</v>
      </c>
    </row>
    <row r="14" spans="2:11" x14ac:dyDescent="0.35">
      <c r="B14" t="s">
        <v>36</v>
      </c>
      <c r="C14" s="1">
        <v>46245</v>
      </c>
      <c r="D14" t="s">
        <v>19</v>
      </c>
      <c r="E14" t="str">
        <f>VLOOKUP(Permisos[[#This Row],[ID_Empleado]],Empleados[],2)</f>
        <v>Sandra López</v>
      </c>
      <c r="F14" t="str">
        <f>_xlfn.XLOOKUP(Permisos[[#This Row],[ID_Empleado]],Empleados[ID_Empleado],Empleados[Cargo])</f>
        <v>Auxiliar Administrativo</v>
      </c>
      <c r="G14" t="str" cm="1">
        <f t="array" ref="G14">_xlfn.XLOOKUP(Permisos[[#This Row],[ID_Empleado]],Empleados[ID_Empleado],_xlfn.XLOOKUP(Empleados[ID_Area],Areas[ID_Area],Areas[Área]))</f>
        <v>Gestión Documental</v>
      </c>
      <c r="H14" t="s">
        <v>22</v>
      </c>
      <c r="I14" t="str">
        <f>_xlfn.XLOOKUP(Permisos[[#This Row],[ID_TipoPermiso]],Tipopermiso[ID_TipoPermiso],Tipopermiso[Tipo_Permiso])</f>
        <v>Capacitación</v>
      </c>
      <c r="J14">
        <v>2</v>
      </c>
      <c r="K14" t="s">
        <v>23</v>
      </c>
    </row>
    <row r="15" spans="2:11" x14ac:dyDescent="0.35">
      <c r="B15" t="s">
        <v>37</v>
      </c>
      <c r="C15" s="1">
        <v>46249</v>
      </c>
      <c r="D15" t="s">
        <v>15</v>
      </c>
      <c r="E15" t="str">
        <f>VLOOKUP(Permisos[[#This Row],[ID_Empleado]],Empleados[],2)</f>
        <v>Carlos Ruiz</v>
      </c>
      <c r="F15" t="str">
        <f>_xlfn.XLOOKUP(Permisos[[#This Row],[ID_Empleado]],Empleados[ID_Empleado],Empleados[Cargo])</f>
        <v>Analista Administrativo</v>
      </c>
      <c r="G15" t="str" cm="1">
        <f t="array" ref="G15">_xlfn.XLOOKUP(Permisos[[#This Row],[ID_Empleado]],Empleados[ID_Empleado],_xlfn.XLOOKUP(Empleados[ID_Area],Areas[ID_Area],Areas[Área]))</f>
        <v>Recursos Humanos</v>
      </c>
      <c r="H15" t="s">
        <v>8</v>
      </c>
      <c r="I15" t="str">
        <f>_xlfn.XLOOKUP(Permisos[[#This Row],[ID_TipoPermiso]],Tipopermiso[ID_TipoPermiso],Tipopermiso[Tipo_Permiso])</f>
        <v>Cita médica</v>
      </c>
      <c r="J15">
        <v>1</v>
      </c>
      <c r="K15" t="s">
        <v>9</v>
      </c>
    </row>
    <row r="16" spans="2:11" x14ac:dyDescent="0.35">
      <c r="B16" t="s">
        <v>38</v>
      </c>
      <c r="C16" s="1">
        <v>46252</v>
      </c>
      <c r="D16" t="s">
        <v>27</v>
      </c>
      <c r="E16" t="str">
        <f>VLOOKUP(Permisos[[#This Row],[ID_Empleado]],Empleados[],2)</f>
        <v>Laura Martínez</v>
      </c>
      <c r="F16" t="str">
        <f>_xlfn.XLOOKUP(Permisos[[#This Row],[ID_Empleado]],Empleados[ID_Empleado],Empleados[Cargo])</f>
        <v>Auxiliar Administrativo</v>
      </c>
      <c r="G16" t="str" cm="1">
        <f t="array" ref="G16">_xlfn.XLOOKUP(Permisos[[#This Row],[ID_Empleado]],Empleados[ID_Empleado],_xlfn.XLOOKUP(Empleados[ID_Area],Areas[ID_Area],Areas[Área]))</f>
        <v>Atención al Usuario</v>
      </c>
      <c r="H16" t="s">
        <v>16</v>
      </c>
      <c r="I16" t="str">
        <f>_xlfn.XLOOKUP(Permisos[[#This Row],[ID_TipoPermiso]],Tipopermiso[ID_TipoPermiso],Tipopermiso[Tipo_Permiso])</f>
        <v>Asunto personal</v>
      </c>
      <c r="J16">
        <v>1</v>
      </c>
      <c r="K16" t="s">
        <v>17</v>
      </c>
    </row>
    <row r="17" spans="2:11" x14ac:dyDescent="0.35">
      <c r="B17" t="s">
        <v>39</v>
      </c>
      <c r="C17" s="1">
        <v>46256</v>
      </c>
      <c r="D17" t="s">
        <v>25</v>
      </c>
      <c r="E17" t="str">
        <f>VLOOKUP(Permisos[[#This Row],[ID_Empleado]],Empleados[],2)</f>
        <v>Mónica Herrera</v>
      </c>
      <c r="F17" t="str">
        <f>_xlfn.XLOOKUP(Permisos[[#This Row],[ID_Empleado]],Empleados[ID_Empleado],Empleados[Cargo])</f>
        <v>Técnico Administrativo</v>
      </c>
      <c r="G17" t="str" cm="1">
        <f t="array" ref="G17">_xlfn.XLOOKUP(Permisos[[#This Row],[ID_Empleado]],Empleados[ID_Empleado],_xlfn.XLOOKUP(Empleados[ID_Area],Areas[ID_Area],Areas[Área]))</f>
        <v>Gestión Administrativa</v>
      </c>
      <c r="H17" t="s">
        <v>12</v>
      </c>
      <c r="I17" t="str">
        <f>_xlfn.XLOOKUP(Permisos[[#This Row],[ID_TipoPermiso]],Tipopermiso[ID_TipoPermiso],Tipopermiso[Tipo_Permiso])</f>
        <v>Calamidad familiar</v>
      </c>
      <c r="J17">
        <v>2</v>
      </c>
      <c r="K17" t="s">
        <v>13</v>
      </c>
    </row>
    <row r="18" spans="2:11" x14ac:dyDescent="0.35">
      <c r="B18" t="s">
        <v>40</v>
      </c>
      <c r="C18" s="1">
        <v>46261</v>
      </c>
      <c r="D18" t="s">
        <v>21</v>
      </c>
      <c r="E18" t="str">
        <f>VLOOKUP(Permisos[[#This Row],[ID_Empleado]],Empleados[],2)</f>
        <v>Diana Gómez</v>
      </c>
      <c r="F18" t="str">
        <f>_xlfn.XLOOKUP(Permisos[[#This Row],[ID_Empleado]],Empleados[ID_Empleado],Empleados[Cargo])</f>
        <v>Auxiliar de Archivo</v>
      </c>
      <c r="G18" t="str" cm="1">
        <f t="array" ref="G18">_xlfn.XLOOKUP(Permisos[[#This Row],[ID_Empleado]],Empleados[ID_Empleado],_xlfn.XLOOKUP(Empleados[ID_Area],Areas[ID_Area],Areas[Área]))</f>
        <v>Gestión Documental</v>
      </c>
      <c r="H18" t="s">
        <v>22</v>
      </c>
      <c r="I18" t="str">
        <f>_xlfn.XLOOKUP(Permisos[[#This Row],[ID_TipoPermiso]],Tipopermiso[ID_TipoPermiso],Tipopermiso[Tipo_Permiso])</f>
        <v>Capacitación</v>
      </c>
      <c r="J18">
        <v>1</v>
      </c>
      <c r="K18" t="s">
        <v>23</v>
      </c>
    </row>
    <row r="19" spans="2:11" x14ac:dyDescent="0.35">
      <c r="B19" t="s">
        <v>41</v>
      </c>
      <c r="C19" s="1">
        <v>46266</v>
      </c>
      <c r="D19" t="s">
        <v>29</v>
      </c>
      <c r="E19" t="str">
        <f>VLOOKUP(Permisos[[#This Row],[ID_Empleado]],Empleados[],2)</f>
        <v>Juan Rodríguez</v>
      </c>
      <c r="F19" t="str">
        <f>_xlfn.XLOOKUP(Permisos[[#This Row],[ID_Empleado]],Empleados[ID_Empleado],Empleados[Cargo])</f>
        <v>Asistente Administrativo</v>
      </c>
      <c r="G19" t="str" cm="1">
        <f t="array" ref="G19">_xlfn.XLOOKUP(Permisos[[#This Row],[ID_Empleado]],Empleados[ID_Empleado],_xlfn.XLOOKUP(Empleados[ID_Area],Areas[ID_Area],Areas[Área]))</f>
        <v>Atención al Usuario</v>
      </c>
      <c r="H19" t="s">
        <v>8</v>
      </c>
      <c r="I19" t="str">
        <f>_xlfn.XLOOKUP(Permisos[[#This Row],[ID_TipoPermiso]],Tipopermiso[ID_TipoPermiso],Tipopermiso[Tipo_Permiso])</f>
        <v>Cita médica</v>
      </c>
      <c r="J19">
        <v>1</v>
      </c>
      <c r="K19" t="s">
        <v>9</v>
      </c>
    </row>
    <row r="20" spans="2:11" x14ac:dyDescent="0.35">
      <c r="B20" t="s">
        <v>42</v>
      </c>
      <c r="C20" s="1">
        <v>46270</v>
      </c>
      <c r="D20" t="s">
        <v>31</v>
      </c>
      <c r="E20" t="str">
        <f>VLOOKUP(Permisos[[#This Row],[ID_Empleado]],Empleados[],2)</f>
        <v>Andrés Pérez</v>
      </c>
      <c r="F20" t="str">
        <f>_xlfn.XLOOKUP(Permisos[[#This Row],[ID_Empleado]],Empleados[ID_Empleado],Empleados[Cargo])</f>
        <v>Técnico Administrativo</v>
      </c>
      <c r="G20" t="str" cm="1">
        <f t="array" ref="G20">_xlfn.XLOOKUP(Permisos[[#This Row],[ID_Empleado]],Empleados[ID_Empleado],_xlfn.XLOOKUP(Empleados[ID_Area],Areas[ID_Area],Areas[Área]))</f>
        <v>Recursos Humanos</v>
      </c>
      <c r="H20" t="s">
        <v>16</v>
      </c>
      <c r="I20" t="str">
        <f>_xlfn.XLOOKUP(Permisos[[#This Row],[ID_TipoPermiso]],Tipopermiso[ID_TipoPermiso],Tipopermiso[Tipo_Permiso])</f>
        <v>Asunto personal</v>
      </c>
      <c r="J20">
        <v>2</v>
      </c>
      <c r="K20" t="s">
        <v>17</v>
      </c>
    </row>
    <row r="21" spans="2:11" x14ac:dyDescent="0.35">
      <c r="B21" t="s">
        <v>43</v>
      </c>
      <c r="C21" s="1">
        <v>46274</v>
      </c>
      <c r="D21" t="s">
        <v>33</v>
      </c>
      <c r="E21" t="str">
        <f>VLOOKUP(Permisos[[#This Row],[ID_Empleado]],Empleados[],2)</f>
        <v>David Moreno</v>
      </c>
      <c r="F21" t="str">
        <f>_xlfn.XLOOKUP(Permisos[[#This Row],[ID_Empleado]],Empleados[ID_Empleado],Empleados[Cargo])</f>
        <v>Auxiliar Administrativo</v>
      </c>
      <c r="G21" t="str" cm="1">
        <f t="array" ref="G21">_xlfn.XLOOKUP(Permisos[[#This Row],[ID_Empleado]],Empleados[ID_Empleado],_xlfn.XLOOKUP(Empleados[ID_Area],Areas[ID_Area],Areas[Área]))</f>
        <v>Recursos Humanos</v>
      </c>
      <c r="H21" t="s">
        <v>12</v>
      </c>
      <c r="I21" t="str">
        <f>_xlfn.XLOOKUP(Permisos[[#This Row],[ID_TipoPermiso]],Tipopermiso[ID_TipoPermiso],Tipopermiso[Tipo_Permiso])</f>
        <v>Calamidad familiar</v>
      </c>
      <c r="J21">
        <v>1</v>
      </c>
      <c r="K21" t="s">
        <v>13</v>
      </c>
    </row>
    <row r="22" spans="2:11" x14ac:dyDescent="0.35">
      <c r="B22" t="s">
        <v>44</v>
      </c>
      <c r="C22" s="1">
        <v>46277</v>
      </c>
      <c r="D22" t="s">
        <v>7</v>
      </c>
      <c r="E22" t="str">
        <f>VLOOKUP(Permisos[[#This Row],[ID_Empleado]],Empleados[],2)</f>
        <v>Ana Torres</v>
      </c>
      <c r="F22" t="str">
        <f>_xlfn.XLOOKUP(Permisos[[#This Row],[ID_Empleado]],Empleados[ID_Empleado],Empleados[Cargo])</f>
        <v>Auxiliar Administrativo</v>
      </c>
      <c r="G22" t="str" cm="1">
        <f t="array" ref="G22">_xlfn.XLOOKUP(Permisos[[#This Row],[ID_Empleado]],Empleados[ID_Empleado],_xlfn.XLOOKUP(Empleados[ID_Area],Areas[ID_Area],Areas[Área]))</f>
        <v>Gestión Administrativa</v>
      </c>
      <c r="H22" t="s">
        <v>22</v>
      </c>
      <c r="I22" t="str">
        <f>_xlfn.XLOOKUP(Permisos[[#This Row],[ID_TipoPermiso]],Tipopermiso[ID_TipoPermiso],Tipopermiso[Tipo_Permiso])</f>
        <v>Capacitación</v>
      </c>
      <c r="J22">
        <v>2</v>
      </c>
      <c r="K22" t="s">
        <v>23</v>
      </c>
    </row>
    <row r="23" spans="2:11" x14ac:dyDescent="0.35">
      <c r="B23" t="s">
        <v>45</v>
      </c>
      <c r="C23" s="1">
        <v>46281</v>
      </c>
      <c r="D23" t="s">
        <v>11</v>
      </c>
      <c r="E23" t="str">
        <f>VLOOKUP(Permisos[[#This Row],[ID_Empleado]],Empleados[],2)</f>
        <v>Felipe Castro</v>
      </c>
      <c r="F23" t="str">
        <f>_xlfn.XLOOKUP(Permisos[[#This Row],[ID_Empleado]],Empleados[ID_Empleado],Empleados[Cargo])</f>
        <v>Coordinador Administrativo</v>
      </c>
      <c r="G23" t="str" cm="1">
        <f t="array" ref="G23">_xlfn.XLOOKUP(Permisos[[#This Row],[ID_Empleado]],Empleados[ID_Empleado],_xlfn.XLOOKUP(Empleados[ID_Area],Areas[ID_Area],Areas[Área]))</f>
        <v>Gestión Administrativa</v>
      </c>
      <c r="H23" t="s">
        <v>8</v>
      </c>
      <c r="I23" t="str">
        <f>_xlfn.XLOOKUP(Permisos[[#This Row],[ID_TipoPermiso]],Tipopermiso[ID_TipoPermiso],Tipopermiso[Tipo_Permiso])</f>
        <v>Cita médica</v>
      </c>
      <c r="J23">
        <v>1</v>
      </c>
      <c r="K23" t="s">
        <v>9</v>
      </c>
    </row>
    <row r="24" spans="2:11" x14ac:dyDescent="0.35">
      <c r="B24" t="s">
        <v>46</v>
      </c>
      <c r="C24" s="1">
        <v>46285</v>
      </c>
      <c r="D24" t="s">
        <v>19</v>
      </c>
      <c r="E24" t="str">
        <f>VLOOKUP(Permisos[[#This Row],[ID_Empleado]],Empleados[],2)</f>
        <v>Sandra López</v>
      </c>
      <c r="F24" t="str">
        <f>_xlfn.XLOOKUP(Permisos[[#This Row],[ID_Empleado]],Empleados[ID_Empleado],Empleados[Cargo])</f>
        <v>Auxiliar Administrativo</v>
      </c>
      <c r="G24" t="str" cm="1">
        <f t="array" ref="G24">_xlfn.XLOOKUP(Permisos[[#This Row],[ID_Empleado]],Empleados[ID_Empleado],_xlfn.XLOOKUP(Empleados[ID_Area],Areas[ID_Area],Areas[Área]))</f>
        <v>Gestión Documental</v>
      </c>
      <c r="H24" t="s">
        <v>16</v>
      </c>
      <c r="I24" t="str">
        <f>_xlfn.XLOOKUP(Permisos[[#This Row],[ID_TipoPermiso]],Tipopermiso[ID_TipoPermiso],Tipopermiso[Tipo_Permiso])</f>
        <v>Asunto personal</v>
      </c>
      <c r="J24">
        <v>2</v>
      </c>
      <c r="K24" t="s">
        <v>17</v>
      </c>
    </row>
    <row r="25" spans="2:11" x14ac:dyDescent="0.35">
      <c r="B25" t="s">
        <v>47</v>
      </c>
      <c r="C25" s="1">
        <v>46290</v>
      </c>
      <c r="D25" t="s">
        <v>15</v>
      </c>
      <c r="E25" t="str">
        <f>VLOOKUP(Permisos[[#This Row],[ID_Empleado]],Empleados[],2)</f>
        <v>Carlos Ruiz</v>
      </c>
      <c r="F25" t="str">
        <f>_xlfn.XLOOKUP(Permisos[[#This Row],[ID_Empleado]],Empleados[ID_Empleado],Empleados[Cargo])</f>
        <v>Analista Administrativo</v>
      </c>
      <c r="G25" t="str" cm="1">
        <f t="array" ref="G25">_xlfn.XLOOKUP(Permisos[[#This Row],[ID_Empleado]],Empleados[ID_Empleado],_xlfn.XLOOKUP(Empleados[ID_Area],Areas[ID_Area],Areas[Área]))</f>
        <v>Recursos Humanos</v>
      </c>
      <c r="H25" t="s">
        <v>12</v>
      </c>
      <c r="I25" t="str">
        <f>_xlfn.XLOOKUP(Permisos[[#This Row],[ID_TipoPermiso]],Tipopermiso[ID_TipoPermiso],Tipopermiso[Tipo_Permiso])</f>
        <v>Calamidad familiar</v>
      </c>
      <c r="J25">
        <v>1</v>
      </c>
      <c r="K25" t="s">
        <v>13</v>
      </c>
    </row>
  </sheetData>
  <pageMargins left="0.7" right="0.7" top="0.75" bottom="0.75" header="0.3" footer="0.3"/>
  <headerFooter>
    <oddHeader>&amp;L&amp;"Aptos"&amp;6&amp;K0000FF Documento/Email Para uso compartido Público&amp;1#_x000D_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CF4F6-2734-4306-BA5D-BC8F1DE1E065}">
  <dimension ref="A2:C33"/>
  <sheetViews>
    <sheetView tabSelected="1" topLeftCell="A16" workbookViewId="0">
      <selection activeCell="C26" sqref="C26"/>
    </sheetView>
  </sheetViews>
  <sheetFormatPr baseColWidth="10" defaultRowHeight="14.5" x14ac:dyDescent="0.35"/>
  <cols>
    <col min="1" max="1" width="24.7265625" bestFit="1" customWidth="1"/>
    <col min="2" max="2" width="21.90625" bestFit="1" customWidth="1"/>
    <col min="3" max="3" width="16.54296875" customWidth="1"/>
  </cols>
  <sheetData>
    <row r="2" spans="1:3" x14ac:dyDescent="0.35">
      <c r="A2" s="5" t="s">
        <v>79</v>
      </c>
      <c r="B2" s="5"/>
    </row>
    <row r="3" spans="1:3" x14ac:dyDescent="0.35">
      <c r="A3" s="4" t="s">
        <v>82</v>
      </c>
      <c r="B3" t="s">
        <v>83</v>
      </c>
    </row>
    <row r="4" spans="1:3" x14ac:dyDescent="0.35">
      <c r="A4" t="s">
        <v>80</v>
      </c>
      <c r="B4">
        <f>SUM(Permisos[Dias])</f>
        <v>36</v>
      </c>
    </row>
    <row r="5" spans="1:3" x14ac:dyDescent="0.35">
      <c r="A5" t="s">
        <v>81</v>
      </c>
      <c r="B5">
        <f>COUNTA(Permisos[Nombre empleado])</f>
        <v>24</v>
      </c>
    </row>
    <row r="6" spans="1:3" x14ac:dyDescent="0.35">
      <c r="A6" t="s">
        <v>84</v>
      </c>
      <c r="B6">
        <f>AVERAGE(Permisos[Dias])</f>
        <v>1.5</v>
      </c>
    </row>
    <row r="8" spans="1:3" x14ac:dyDescent="0.35">
      <c r="A8" s="5" t="s">
        <v>87</v>
      </c>
      <c r="B8" s="5"/>
      <c r="C8" s="5"/>
    </row>
    <row r="9" spans="1:3" x14ac:dyDescent="0.35">
      <c r="A9" t="s">
        <v>85</v>
      </c>
      <c r="B9" t="s">
        <v>81</v>
      </c>
      <c r="C9" t="s">
        <v>86</v>
      </c>
    </row>
    <row r="10" spans="1:3" x14ac:dyDescent="0.35">
      <c r="A10" t="s">
        <v>9</v>
      </c>
      <c r="B10">
        <f>COUNTIF(Permisos[Tipo Permiso],Tabla10[[#This Row],[Tipo de permiso]])</f>
        <v>7</v>
      </c>
      <c r="C10">
        <f>SUMIF(Permisos[Tipo Permiso],Tabla10[[#This Row],[Tipo de permiso]],Permisos[Dias])</f>
        <v>7</v>
      </c>
    </row>
    <row r="11" spans="1:3" x14ac:dyDescent="0.35">
      <c r="A11" t="s">
        <v>13</v>
      </c>
      <c r="B11">
        <f>COUNTIF(Permisos[Tipo Permiso],Tabla10[[#This Row],[Tipo de permiso]])</f>
        <v>6</v>
      </c>
      <c r="C11">
        <f>SUMIF(Permisos[Tipo Permiso],Tabla10[[#This Row],[Tipo de permiso]],Permisos[Dias])</f>
        <v>10</v>
      </c>
    </row>
    <row r="12" spans="1:3" x14ac:dyDescent="0.35">
      <c r="A12" t="s">
        <v>17</v>
      </c>
      <c r="B12">
        <f>COUNTIF(Permisos[Tipo Permiso],Tabla10[[#This Row],[Tipo de permiso]])</f>
        <v>6</v>
      </c>
      <c r="C12">
        <f>SUMIF(Permisos[Tipo Permiso],Tabla10[[#This Row],[Tipo de permiso]],Permisos[Dias])</f>
        <v>9</v>
      </c>
    </row>
    <row r="13" spans="1:3" x14ac:dyDescent="0.35">
      <c r="A13" t="s">
        <v>23</v>
      </c>
      <c r="B13">
        <f>COUNTIF(Permisos[Tipo Permiso],Tabla10[[#This Row],[Tipo de permiso]])</f>
        <v>5</v>
      </c>
      <c r="C13">
        <f>SUMIF(Permisos[Tipo Permiso],Tabla10[[#This Row],[Tipo de permiso]],Permisos[Dias])</f>
        <v>10</v>
      </c>
    </row>
    <row r="15" spans="1:3" x14ac:dyDescent="0.35">
      <c r="A15" s="5" t="s">
        <v>93</v>
      </c>
      <c r="B15" s="5"/>
      <c r="C15" s="5"/>
    </row>
    <row r="16" spans="1:3" x14ac:dyDescent="0.35">
      <c r="A16" t="s">
        <v>71</v>
      </c>
      <c r="B16" t="s">
        <v>88</v>
      </c>
      <c r="C16" t="s">
        <v>89</v>
      </c>
    </row>
    <row r="17" spans="1:3" x14ac:dyDescent="0.35">
      <c r="A17" t="s">
        <v>90</v>
      </c>
      <c r="B17">
        <f>COUNTIF(Permisos[Área],Tabla11[[#This Row],[Área]])</f>
        <v>8</v>
      </c>
      <c r="C17">
        <f>SUMIF(Permisos[Área],Tabla11[[#This Row],[Área]],Permisos[Dias])</f>
        <v>13</v>
      </c>
    </row>
    <row r="18" spans="1:3" x14ac:dyDescent="0.35">
      <c r="A18" t="s">
        <v>73</v>
      </c>
      <c r="B18">
        <f>COUNTIF(Permisos[Área],Tabla11[[#This Row],[Área]])</f>
        <v>7</v>
      </c>
      <c r="C18">
        <f>SUMIF(Permisos[Área],Tabla11[[#This Row],[Área]],Permisos[Dias])</f>
        <v>9</v>
      </c>
    </row>
    <row r="19" spans="1:3" x14ac:dyDescent="0.35">
      <c r="A19" t="s">
        <v>91</v>
      </c>
      <c r="B19">
        <f>COUNTIF(Permisos[Área],Tabla11[[#This Row],[Área]])</f>
        <v>5</v>
      </c>
      <c r="C19">
        <f>SUMIF(Permisos[Área],Tabla11[[#This Row],[Área]],Permisos[Dias])</f>
        <v>9</v>
      </c>
    </row>
    <row r="20" spans="1:3" x14ac:dyDescent="0.35">
      <c r="A20" t="s">
        <v>92</v>
      </c>
      <c r="B20">
        <f>COUNTIF(Permisos[Área],Tabla11[[#This Row],[Área]])</f>
        <v>4</v>
      </c>
      <c r="C20">
        <f>SUMIF(Permisos[Área],Tabla11[[#This Row],[Área]],Permisos[Dias])</f>
        <v>5</v>
      </c>
    </row>
    <row r="22" spans="1:3" x14ac:dyDescent="0.35">
      <c r="A22" s="5" t="s">
        <v>95</v>
      </c>
      <c r="B22" s="5"/>
      <c r="C22" s="5"/>
    </row>
    <row r="23" spans="1:3" x14ac:dyDescent="0.35">
      <c r="A23" t="s">
        <v>94</v>
      </c>
      <c r="B23" t="s">
        <v>88</v>
      </c>
      <c r="C23" t="s">
        <v>89</v>
      </c>
    </row>
    <row r="24" spans="1:3" x14ac:dyDescent="0.35">
      <c r="A24" s="2" t="s">
        <v>51</v>
      </c>
      <c r="B24">
        <f>COUNTIF(Permisos[Nombre empleado],A24)</f>
        <v>3</v>
      </c>
      <c r="C24">
        <f>SUMIF(Permisos[Nombre empleado],A24,Permisos[Dias])</f>
        <v>4</v>
      </c>
    </row>
    <row r="25" spans="1:3" x14ac:dyDescent="0.35">
      <c r="A25" s="3" t="s">
        <v>54</v>
      </c>
      <c r="B25">
        <f>COUNTIF(Permisos[Nombre empleado],A25)</f>
        <v>3</v>
      </c>
      <c r="C25">
        <f>SUMIF(Permisos[Nombre empleado],A25,Permisos[Dias])</f>
        <v>3</v>
      </c>
    </row>
    <row r="26" spans="1:3" x14ac:dyDescent="0.35">
      <c r="A26" s="2" t="s">
        <v>57</v>
      </c>
      <c r="B26">
        <f>COUNTIF(Permisos[Nombre empleado],A26)</f>
        <v>2</v>
      </c>
      <c r="C26">
        <f>SUMIF(Permisos[Nombre empleado],A26,Permisos[Dias])</f>
        <v>4</v>
      </c>
    </row>
    <row r="27" spans="1:3" x14ac:dyDescent="0.35">
      <c r="A27" s="3" t="s">
        <v>60</v>
      </c>
      <c r="B27">
        <f>COUNTIF(Permisos[Nombre empleado],A27)</f>
        <v>3</v>
      </c>
      <c r="C27">
        <f>SUMIF(Permisos[Nombre empleado],A27,Permisos[Dias])</f>
        <v>6</v>
      </c>
    </row>
    <row r="28" spans="1:3" x14ac:dyDescent="0.35">
      <c r="A28" s="2" t="s">
        <v>62</v>
      </c>
      <c r="B28">
        <f>COUNTIF(Permisos[Nombre empleado],A28)</f>
        <v>2</v>
      </c>
      <c r="C28">
        <f>SUMIF(Permisos[Nombre empleado],A28,Permisos[Dias])</f>
        <v>3</v>
      </c>
    </row>
    <row r="29" spans="1:3" x14ac:dyDescent="0.35">
      <c r="A29" s="3" t="s">
        <v>64</v>
      </c>
      <c r="B29">
        <f>COUNTIF(Permisos[Nombre empleado],A29)</f>
        <v>2</v>
      </c>
      <c r="C29">
        <f>SUMIF(Permisos[Nombre empleado],A29,Permisos[Dias])</f>
        <v>4</v>
      </c>
    </row>
    <row r="30" spans="1:3" x14ac:dyDescent="0.35">
      <c r="A30" s="2" t="s">
        <v>66</v>
      </c>
      <c r="B30">
        <f>COUNTIF(Permisos[Nombre empleado],A30)</f>
        <v>3</v>
      </c>
      <c r="C30">
        <f>SUMIF(Permisos[Nombre empleado],A30,Permisos[Dias])</f>
        <v>5</v>
      </c>
    </row>
    <row r="31" spans="1:3" x14ac:dyDescent="0.35">
      <c r="A31" s="3" t="s">
        <v>67</v>
      </c>
      <c r="B31">
        <f>COUNTIF(Permisos[Nombre empleado],A31)</f>
        <v>2</v>
      </c>
      <c r="C31">
        <f>SUMIF(Permisos[Nombre empleado],A31,Permisos[Dias])</f>
        <v>2</v>
      </c>
    </row>
    <row r="32" spans="1:3" x14ac:dyDescent="0.35">
      <c r="A32" s="2" t="s">
        <v>69</v>
      </c>
      <c r="B32">
        <f>COUNTIF(Permisos[Nombre empleado],A32)</f>
        <v>2</v>
      </c>
      <c r="C32">
        <f>SUMIF(Permisos[Nombre empleado],A32,Permisos[Dias])</f>
        <v>3</v>
      </c>
    </row>
    <row r="33" spans="1:3" x14ac:dyDescent="0.35">
      <c r="A33" s="3" t="s">
        <v>70</v>
      </c>
      <c r="B33">
        <f>COUNTIF(Permisos[Nombre empleado],A33)</f>
        <v>2</v>
      </c>
      <c r="C33">
        <f>SUMIF(Permisos[Nombre empleado],A33,Permisos[Dias])</f>
        <v>2</v>
      </c>
    </row>
  </sheetData>
  <mergeCells count="4">
    <mergeCell ref="A2:B2"/>
    <mergeCell ref="A8:C8"/>
    <mergeCell ref="A15:C15"/>
    <mergeCell ref="A22:C2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6460-DFB7-4ECE-B089-15BD874F64C2}">
  <dimension ref="A1"/>
  <sheetViews>
    <sheetView showGridLines="0" zoomScale="90" zoomScaleNormal="90" workbookViewId="0">
      <selection activeCell="R21" sqref="R21"/>
    </sheetView>
  </sheetViews>
  <sheetFormatPr baseColWidth="10" defaultRowHeight="14.5" x14ac:dyDescent="0.35"/>
  <cols>
    <col min="1" max="16384" width="10.90625" style="6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49c82130-c8eb-4a2d-b9c1-538026f5d9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E372255D6727C49A9DE0C6665A2FAD1" ma:contentTypeVersion="4" ma:contentTypeDescription="Crear nuevo documento." ma:contentTypeScope="" ma:versionID="f5636f2c050e540d3061a9e5318617dd">
  <xsd:schema xmlns:xsd="http://www.w3.org/2001/XMLSchema" xmlns:xs="http://www.w3.org/2001/XMLSchema" xmlns:p="http://schemas.microsoft.com/office/2006/metadata/properties" xmlns:ns2="49c82130-c8eb-4a2d-b9c1-538026f5d96d" targetNamespace="http://schemas.microsoft.com/office/2006/metadata/properties" ma:root="true" ma:fieldsID="76002b05941b623e71e783c4d718b68a" ns2:_="">
    <xsd:import namespace="49c82130-c8eb-4a2d-b9c1-538026f5d96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2130-c8eb-4a2d-b9c1-538026f5d96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590C9D-BE23-4510-87A1-D6699426F941}">
  <ds:schemaRefs>
    <ds:schemaRef ds:uri="http://schemas.microsoft.com/office/2006/metadata/properties"/>
    <ds:schemaRef ds:uri="http://schemas.microsoft.com/office/infopath/2007/PartnerControls"/>
    <ds:schemaRef ds:uri="49c82130-c8eb-4a2d-b9c1-538026f5d96d"/>
  </ds:schemaRefs>
</ds:datastoreItem>
</file>

<file path=customXml/itemProps2.xml><?xml version="1.0" encoding="utf-8"?>
<ds:datastoreItem xmlns:ds="http://schemas.openxmlformats.org/officeDocument/2006/customXml" ds:itemID="{AABE03A0-563F-4659-BB7F-A7BFB25C4A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D3D3F7-7FCE-4421-A6A3-FF5EF92969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2130-c8eb-4a2d-b9c1-538026f5d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Dim_Empleados</vt:lpstr>
      <vt:lpstr>Dim_Areas</vt:lpstr>
      <vt:lpstr>Dim_TipoPermiso</vt:lpstr>
      <vt:lpstr>Permisos</vt:lpstr>
      <vt:lpstr>Informe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TOVAR SUAREZ</dc:creator>
  <cp:lastModifiedBy>Juan Diego Monroy Chalarca</cp:lastModifiedBy>
  <dcterms:created xsi:type="dcterms:W3CDTF">2026-09-30T02:43:55Z</dcterms:created>
  <dcterms:modified xsi:type="dcterms:W3CDTF">2026-09-30T21:45:39Z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16bf0e-3932-49f1-98f1-b60824e1d0e4_Enabled">
    <vt:lpwstr>true</vt:lpwstr>
  </property>
  <property fmtid="{D5CDD505-2E9C-101B-9397-08002B2CF9AE}" pid="3" name="MSIP_Label_ca16bf0e-3932-49f1-98f1-b60824e1d0e4_SetDate">
    <vt:lpwstr>2026-09-30T03:32:19Z</vt:lpwstr>
  </property>
  <property fmtid="{D5CDD505-2E9C-101B-9397-08002B2CF9AE}" pid="4" name="MSIP_Label_ca16bf0e-3932-49f1-98f1-b60824e1d0e4_Method">
    <vt:lpwstr>Privileged</vt:lpwstr>
  </property>
  <property fmtid="{D5CDD505-2E9C-101B-9397-08002B2CF9AE}" pid="5" name="MSIP_Label_ca16bf0e-3932-49f1-98f1-b60824e1d0e4_Name">
    <vt:lpwstr>Confidencialidad_documentos</vt:lpwstr>
  </property>
  <property fmtid="{D5CDD505-2E9C-101B-9397-08002B2CF9AE}" pid="6" name="MSIP_Label_ca16bf0e-3932-49f1-98f1-b60824e1d0e4_SiteId">
    <vt:lpwstr>81f7f119-7d67-4738-b748-dc0811d44c1f</vt:lpwstr>
  </property>
  <property fmtid="{D5CDD505-2E9C-101B-9397-08002B2CF9AE}" pid="7" name="MSIP_Label_ca16bf0e-3932-49f1-98f1-b60824e1d0e4_ActionId">
    <vt:lpwstr>d1be84a2-885f-4f0e-9d1e-e73d9ded2de4</vt:lpwstr>
  </property>
  <property fmtid="{D5CDD505-2E9C-101B-9397-08002B2CF9AE}" pid="8" name="MSIP_Label_ca16bf0e-3932-49f1-98f1-b60824e1d0e4_ContentBits">
    <vt:lpwstr>1</vt:lpwstr>
  </property>
  <property fmtid="{D5CDD505-2E9C-101B-9397-08002B2CF9AE}" pid="9" name="MSIP_Label_ca16bf0e-3932-49f1-98f1-b60824e1d0e4_Tag">
    <vt:lpwstr>10, 0, 1, 1</vt:lpwstr>
  </property>
  <property fmtid="{D5CDD505-2E9C-101B-9397-08002B2CF9AE}" pid="10" name="ContentTypeId">
    <vt:lpwstr>0x0101008E372255D6727C49A9DE0C6665A2FAD1</vt:lpwstr>
  </property>
</Properties>
</file>